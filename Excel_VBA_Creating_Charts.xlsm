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325" codeName="{2109D909-C6D8-E34B-4C66-09127ED2DC46}"/>
  <workbookPr codeName="ThisWorkbook"/>
  <mc:AlternateContent xmlns:mc="http://schemas.openxmlformats.org/markup-compatibility/2006">
    <mc:Choice Requires="x15">
      <x15ac:absPath xmlns:x15ac="http://schemas.microsoft.com/office/spreadsheetml/2010/11/ac" url="D:\Data Analytics\Excel VBA WiseOwlTutorials\Pt50a - Introduction to Charts in VBA\"/>
    </mc:Choice>
  </mc:AlternateContent>
  <xr:revisionPtr revIDLastSave="0" documentId="13_ncr:1_{A155E0C0-0813-4664-AD9E-68C069C2AF8D}" xr6:coauthVersionLast="45" xr6:coauthVersionMax="45" xr10:uidLastSave="{00000000-0000-0000-0000-000000000000}"/>
  <bookViews>
    <workbookView xWindow="-108" yWindow="-108" windowWidth="23256" windowHeight="12720" activeTab="3" xr2:uid="{00000000-000D-0000-FFFF-FFFF00000000}"/>
  </bookViews>
  <sheets>
    <sheet name="Menu" sheetId="13" r:id="rId1"/>
    <sheet name="Chart20" sheetId="33" r:id="rId2"/>
    <sheet name="Chart21" sheetId="34" r:id="rId3"/>
    <sheet name="Chart1" sheetId="35" r:id="rId4"/>
    <sheet name="Awards 2015" sheetId="1" r:id="rId5"/>
    <sheet name="Awards 2016" sheetId="12" r:id="rId6"/>
    <sheet name="Money" sheetId="4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27" i="4" l="1"/>
  <c r="J27" i="4"/>
  <c r="K27" i="4"/>
  <c r="K5" i="4" l="1"/>
  <c r="K6" i="4"/>
  <c r="K7" i="4"/>
  <c r="K8" i="4"/>
  <c r="K9" i="4"/>
  <c r="K10" i="4"/>
  <c r="K11" i="4"/>
  <c r="K12" i="4"/>
  <c r="K13" i="4"/>
  <c r="K14" i="4"/>
  <c r="K15" i="4"/>
  <c r="K16" i="4"/>
  <c r="K17" i="4"/>
  <c r="K18" i="4"/>
  <c r="K19" i="4"/>
  <c r="K20" i="4"/>
  <c r="K21" i="4"/>
  <c r="K22" i="4"/>
  <c r="K23" i="4"/>
  <c r="K24" i="4"/>
  <c r="K25" i="4"/>
  <c r="K26" i="4"/>
  <c r="K4" i="4"/>
  <c r="J4" i="4"/>
  <c r="J5" i="4"/>
  <c r="J6" i="4"/>
  <c r="J7" i="4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4" i="4"/>
  <c r="J25" i="4"/>
  <c r="J26" i="4"/>
  <c r="I11" i="4"/>
  <c r="I9" i="4"/>
  <c r="I6" i="4"/>
  <c r="I7" i="4"/>
  <c r="I5" i="4"/>
  <c r="I8" i="4"/>
  <c r="I10" i="4"/>
  <c r="I12" i="4"/>
  <c r="I13" i="4"/>
  <c r="I14" i="4"/>
  <c r="I15" i="4"/>
  <c r="I16" i="4"/>
  <c r="I17" i="4"/>
  <c r="I18" i="4"/>
  <c r="I19" i="4"/>
  <c r="I20" i="4"/>
  <c r="I21" i="4"/>
  <c r="I22" i="4"/>
  <c r="I23" i="4"/>
  <c r="I24" i="4"/>
  <c r="I25" i="4"/>
  <c r="I26" i="4"/>
  <c r="I4" i="4"/>
</calcChain>
</file>

<file path=xl/sharedStrings.xml><?xml version="1.0" encoding="utf-8"?>
<sst xmlns="http://schemas.openxmlformats.org/spreadsheetml/2006/main" count="105" uniqueCount="98">
  <si>
    <t>Nominations</t>
  </si>
  <si>
    <t>Film</t>
  </si>
  <si>
    <t>The Grand Budapest Hotel</t>
  </si>
  <si>
    <t>The Imitation Game</t>
  </si>
  <si>
    <t>American Sniper</t>
  </si>
  <si>
    <t>Boyhood</t>
  </si>
  <si>
    <t>Foxcatcher</t>
  </si>
  <si>
    <t>Interstellar</t>
  </si>
  <si>
    <t>The Theory of Everything</t>
  </si>
  <si>
    <t>Whiplash</t>
  </si>
  <si>
    <t>Mr. Turner</t>
  </si>
  <si>
    <t>Into the Woods</t>
  </si>
  <si>
    <t>Unbroken</t>
  </si>
  <si>
    <t>Guardians of the Galaxy</t>
  </si>
  <si>
    <t>Ida</t>
  </si>
  <si>
    <t>Inherent Vice</t>
  </si>
  <si>
    <t>Selma</t>
  </si>
  <si>
    <t>Birdman</t>
  </si>
  <si>
    <t>Wins</t>
  </si>
  <si>
    <t>Academy Awards 2015</t>
  </si>
  <si>
    <t>Inside Out</t>
  </si>
  <si>
    <t>The Hunger Games: Catching Fire</t>
  </si>
  <si>
    <t>The Lord of the Rings: The Fellowship of the Ring</t>
  </si>
  <si>
    <t>Ice Age: Continental Drift</t>
  </si>
  <si>
    <t>Harry Potter and the Chamber of Secrets</t>
  </si>
  <si>
    <t>Spectre</t>
  </si>
  <si>
    <t>Ice Age: Dawn of the Dinosaurs</t>
  </si>
  <si>
    <t>Spider-Man 3</t>
  </si>
  <si>
    <t>Harry Potter and the Goblet of Fire</t>
  </si>
  <si>
    <t>Shrek 2</t>
  </si>
  <si>
    <t>The Lord of the Rings: The Two Towers</t>
  </si>
  <si>
    <t>Harry Potter and the Half-Blood Prince</t>
  </si>
  <si>
    <t>Finding Nemo</t>
  </si>
  <si>
    <t>Harry Potter and the Order of the Phoenix</t>
  </si>
  <si>
    <t>The Hobbit: The Battle of the Five Armies</t>
  </si>
  <si>
    <t>The Hobbit: The Desolation of Smaug</t>
  </si>
  <si>
    <t>Harry Potter and the Deathly Hallows – Part 1</t>
  </si>
  <si>
    <t>Pirates of the Caribbean: At World's End</t>
  </si>
  <si>
    <t>Despicable Me 2</t>
  </si>
  <si>
    <t>Harry Potter and the Philosopher's Stone</t>
  </si>
  <si>
    <t>The Lion King</t>
  </si>
  <si>
    <t>The Dark Knight</t>
  </si>
  <si>
    <t>The Hobbit: An Unexpected Journey</t>
  </si>
  <si>
    <t>Alice in Wonderland</t>
  </si>
  <si>
    <t>Star Wars: Episode I – The Phantom Menace</t>
  </si>
  <si>
    <t>Jurassic Park</t>
  </si>
  <si>
    <t>Pirates of the Caribbean: On Stranger Tides</t>
  </si>
  <si>
    <t>Toy Story 3</t>
  </si>
  <si>
    <t>Pirates of the Caribbean: Dead Man's Chest</t>
  </si>
  <si>
    <t>The Dark Knight Rises</t>
  </si>
  <si>
    <t>Transformers: Age of Extinction</t>
  </si>
  <si>
    <t>Skyfall</t>
  </si>
  <si>
    <t>The Lord of the Rings: The Return of the King</t>
  </si>
  <si>
    <t>Transformers: Dark of the Moon</t>
  </si>
  <si>
    <t>Minions</t>
  </si>
  <si>
    <t>Iron Man 3</t>
  </si>
  <si>
    <t>Frozen</t>
  </si>
  <si>
    <t>Harry Potter and the Deathly Hallows – Part 2</t>
  </si>
  <si>
    <t>Avengers: Age of Ultron</t>
  </si>
  <si>
    <t>Furious 7</t>
  </si>
  <si>
    <t>The Avengers</t>
  </si>
  <si>
    <t>Jurassic World</t>
  </si>
  <si>
    <t>Star Wars: The Force Awakens</t>
  </si>
  <si>
    <t>Titanic</t>
  </si>
  <si>
    <t>Avatar</t>
  </si>
  <si>
    <t>Year</t>
  </si>
  <si>
    <t>Worldwide gross</t>
  </si>
  <si>
    <t>Title</t>
  </si>
  <si>
    <t>Rank</t>
  </si>
  <si>
    <t>Highest Grossing Films</t>
  </si>
  <si>
    <t>Count</t>
  </si>
  <si>
    <t>Average</t>
  </si>
  <si>
    <t>Sum</t>
  </si>
  <si>
    <t>Academy Awards 2016</t>
  </si>
  <si>
    <t>Bear Story</t>
  </si>
  <si>
    <t>The Big Short</t>
  </si>
  <si>
    <t>Bridge Of Spies</t>
  </si>
  <si>
    <t>Brooklyn</t>
  </si>
  <si>
    <t>Carol</t>
  </si>
  <si>
    <t>Creed</t>
  </si>
  <si>
    <t>The Danish Girl</t>
  </si>
  <si>
    <t>Ex Machina</t>
  </si>
  <si>
    <t>Fifty Shades Of Grey</t>
  </si>
  <si>
    <t>The Hateful Eight</t>
  </si>
  <si>
    <t>Mad Max: Fury Road</t>
  </si>
  <si>
    <t>The Martian</t>
  </si>
  <si>
    <t>The Revenant</t>
  </si>
  <si>
    <t>Room</t>
  </si>
  <si>
    <t>Sicario</t>
  </si>
  <si>
    <t>Spotlight</t>
  </si>
  <si>
    <t>Steve Jobs</t>
  </si>
  <si>
    <t>Straight Outta Compton</t>
  </si>
  <si>
    <t>Batman v Superman: Dawn of Justice</t>
  </si>
  <si>
    <t>The Secret Life of Pets</t>
  </si>
  <si>
    <t>The Jungle Book</t>
  </si>
  <si>
    <t>Finding Dory</t>
  </si>
  <si>
    <t>Captain America: Civil War</t>
  </si>
  <si>
    <t>Zootopia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</si>
</sst>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[$$-409]* #,##0_ ;_-[$$-409]* \-#,##0\ ;_-[$$-409]* &quot;-&quot;??_ ;_-@_ 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  <fill>
      <patternFill patternType="solid">
        <fgColor theme="4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Alignment="1">
      <alignment horizontal="center"/>
    </xf>
    <xf numFmtId="0" fontId="2" fillId="2" borderId="0" xfId="0" applyFont="1" applyFill="1"/>
    <xf numFmtId="0" fontId="2" fillId="2" borderId="0" xfId="0" applyFont="1" applyFill="1" applyAlignment="1">
      <alignment horizontal="center"/>
    </xf>
    <xf numFmtId="0" fontId="1" fillId="3" borderId="0" xfId="0" applyFont="1" applyFill="1"/>
    <xf numFmtId="0" fontId="1" fillId="3" borderId="0" xfId="0" applyFont="1" applyFill="1" applyAlignment="1">
      <alignment horizontal="center"/>
    </xf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chartsheet" Target="chartsheets/sheet2.xml"/><Relationship Id="rId7" Type="http://schemas.openxmlformats.org/officeDocument/2006/relationships/worksheet" Target="worksheets/sheet4.xml"/><Relationship Id="rId12" Type="http://schemas.microsoft.com/office/2006/relationships/vbaProject" Target="vbaProject.bin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3.xml"/><Relationship Id="rId11" Type="http://schemas.openxmlformats.org/officeDocument/2006/relationships/calcChain" Target="calcChain.xml"/><Relationship Id="rId5" Type="http://schemas.openxmlformats.org/officeDocument/2006/relationships/worksheet" Target="worksheets/sheet2.xml"/><Relationship Id="rId10" Type="http://schemas.openxmlformats.org/officeDocument/2006/relationships/sharedStrings" Target="sharedStrings.xml"/><Relationship Id="rId4" Type="http://schemas.openxmlformats.org/officeDocument/2006/relationships/chartsheet" Target="chartsheets/sheet3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Nominations Vs. Wins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rAngAx val="0"/>
    </c:view3D>
    <c:floor>
      <c:thickness val="0"/>
      <c:spPr>
        <a:noFill/>
        <a:ln w="6350" cap="flat" cmpd="sng" algn="ctr">
          <a:solidFill>
            <a:schemeClr val="tx1">
              <a:tint val="75000"/>
            </a:schemeClr>
          </a:solidFill>
          <a:prstDash val="solid"/>
          <a:round/>
        </a:ln>
        <a:effectLst/>
        <a:sp3d contourW="6350">
          <a:contourClr>
            <a:schemeClr val="tx1">
              <a:tint val="75000"/>
            </a:schemeClr>
          </a:contourClr>
        </a:sp3d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'Awards 2015'!$B$3</c:f>
              <c:strCache>
                <c:ptCount val="1"/>
                <c:pt idx="0">
                  <c:v>Nominations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'Awards 2015'!$A$4:$A$19</c:f>
              <c:strCache>
                <c:ptCount val="16"/>
                <c:pt idx="0">
                  <c:v>American Sniper</c:v>
                </c:pt>
                <c:pt idx="1">
                  <c:v>Birdman</c:v>
                </c:pt>
                <c:pt idx="2">
                  <c:v>Boyhood</c:v>
                </c:pt>
                <c:pt idx="3">
                  <c:v>Foxcatcher</c:v>
                </c:pt>
                <c:pt idx="4">
                  <c:v>Guardians of the Galaxy</c:v>
                </c:pt>
                <c:pt idx="5">
                  <c:v>Ida</c:v>
                </c:pt>
                <c:pt idx="6">
                  <c:v>Inherent Vice</c:v>
                </c:pt>
                <c:pt idx="7">
                  <c:v>Interstellar</c:v>
                </c:pt>
                <c:pt idx="8">
                  <c:v>Into the Woods</c:v>
                </c:pt>
                <c:pt idx="9">
                  <c:v>Mr. Turner</c:v>
                </c:pt>
                <c:pt idx="10">
                  <c:v>Selma</c:v>
                </c:pt>
                <c:pt idx="11">
                  <c:v>The Grand Budapest Hotel</c:v>
                </c:pt>
                <c:pt idx="12">
                  <c:v>The Imitation Game</c:v>
                </c:pt>
                <c:pt idx="13">
                  <c:v>The Theory of Everything</c:v>
                </c:pt>
                <c:pt idx="14">
                  <c:v>Unbroken</c:v>
                </c:pt>
                <c:pt idx="15">
                  <c:v>Whiplash</c:v>
                </c:pt>
              </c:strCache>
            </c:strRef>
          </c:cat>
          <c:val>
            <c:numRef>
              <c:f>'Awards 2015'!$B$4:$B$19</c:f>
              <c:numCache>
                <c:formatCode>General</c:formatCode>
                <c:ptCount val="16"/>
                <c:pt idx="0">
                  <c:v>6</c:v>
                </c:pt>
                <c:pt idx="1">
                  <c:v>9</c:v>
                </c:pt>
                <c:pt idx="2">
                  <c:v>6</c:v>
                </c:pt>
                <c:pt idx="3">
                  <c:v>5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5</c:v>
                </c:pt>
                <c:pt idx="8">
                  <c:v>3</c:v>
                </c:pt>
                <c:pt idx="9">
                  <c:v>4</c:v>
                </c:pt>
                <c:pt idx="10">
                  <c:v>2</c:v>
                </c:pt>
                <c:pt idx="11">
                  <c:v>9</c:v>
                </c:pt>
                <c:pt idx="12">
                  <c:v>8</c:v>
                </c:pt>
                <c:pt idx="13">
                  <c:v>5</c:v>
                </c:pt>
                <c:pt idx="14">
                  <c:v>3</c:v>
                </c:pt>
                <c:pt idx="15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8BB-4C91-A13B-DEA7B4D9C13C}"/>
            </c:ext>
          </c:extLst>
        </c:ser>
        <c:ser>
          <c:idx val="1"/>
          <c:order val="1"/>
          <c:tx>
            <c:strRef>
              <c:f>'Awards 2015'!$C$3</c:f>
              <c:strCache>
                <c:ptCount val="1"/>
                <c:pt idx="0">
                  <c:v>Wins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'Awards 2015'!$A$4:$A$19</c:f>
              <c:strCache>
                <c:ptCount val="16"/>
                <c:pt idx="0">
                  <c:v>American Sniper</c:v>
                </c:pt>
                <c:pt idx="1">
                  <c:v>Birdman</c:v>
                </c:pt>
                <c:pt idx="2">
                  <c:v>Boyhood</c:v>
                </c:pt>
                <c:pt idx="3">
                  <c:v>Foxcatcher</c:v>
                </c:pt>
                <c:pt idx="4">
                  <c:v>Guardians of the Galaxy</c:v>
                </c:pt>
                <c:pt idx="5">
                  <c:v>Ida</c:v>
                </c:pt>
                <c:pt idx="6">
                  <c:v>Inherent Vice</c:v>
                </c:pt>
                <c:pt idx="7">
                  <c:v>Interstellar</c:v>
                </c:pt>
                <c:pt idx="8">
                  <c:v>Into the Woods</c:v>
                </c:pt>
                <c:pt idx="9">
                  <c:v>Mr. Turner</c:v>
                </c:pt>
                <c:pt idx="10">
                  <c:v>Selma</c:v>
                </c:pt>
                <c:pt idx="11">
                  <c:v>The Grand Budapest Hotel</c:v>
                </c:pt>
                <c:pt idx="12">
                  <c:v>The Imitation Game</c:v>
                </c:pt>
                <c:pt idx="13">
                  <c:v>The Theory of Everything</c:v>
                </c:pt>
                <c:pt idx="14">
                  <c:v>Unbroken</c:v>
                </c:pt>
                <c:pt idx="15">
                  <c:v>Whiplash</c:v>
                </c:pt>
              </c:strCache>
            </c:strRef>
          </c:cat>
          <c:val>
            <c:numRef>
              <c:f>'Awards 2015'!$C$4:$C$19</c:f>
              <c:numCache>
                <c:formatCode>General</c:formatCode>
                <c:ptCount val="16"/>
                <c:pt idx="0">
                  <c:v>1</c:v>
                </c:pt>
                <c:pt idx="1">
                  <c:v>4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4</c:v>
                </c:pt>
                <c:pt idx="12">
                  <c:v>1</c:v>
                </c:pt>
                <c:pt idx="13">
                  <c:v>1</c:v>
                </c:pt>
                <c:pt idx="14">
                  <c:v>0</c:v>
                </c:pt>
                <c:pt idx="15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8BB-4C91-A13B-DEA7B4D9C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524207936"/>
        <c:axId val="524208592"/>
        <c:axId val="0"/>
      </c:bar3DChart>
      <c:catAx>
        <c:axId val="52420793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Film Name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4208592"/>
        <c:crosses val="autoZero"/>
        <c:auto val="1"/>
        <c:lblAlgn val="ctr"/>
        <c:lblOffset val="100"/>
        <c:noMultiLvlLbl val="0"/>
      </c:catAx>
      <c:valAx>
        <c:axId val="524208592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Quantity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42079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5"/>
    </mc:Choice>
    <mc:Fallback>
      <c:style val="15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Nominations Vs. Wins</a:t>
            </a:r>
          </a:p>
        </c:rich>
      </c:tx>
      <c:overlay val="0"/>
    </c:title>
    <c:autoTitleDeleted val="0"/>
    <c:view3D>
      <c:rotX val="15"/>
      <c:rotY val="20"/>
      <c:rAngAx val="0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'Awards 2015'!$B$3</c:f>
              <c:strCache>
                <c:ptCount val="1"/>
                <c:pt idx="0">
                  <c:v>Nominations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'Awards 2015'!$A$4:$A$19</c:f>
              <c:strCache>
                <c:ptCount val="16"/>
                <c:pt idx="0">
                  <c:v>American Sniper</c:v>
                </c:pt>
                <c:pt idx="1">
                  <c:v>Birdman</c:v>
                </c:pt>
                <c:pt idx="2">
                  <c:v>Boyhood</c:v>
                </c:pt>
                <c:pt idx="3">
                  <c:v>Foxcatcher</c:v>
                </c:pt>
                <c:pt idx="4">
                  <c:v>Guardians of the Galaxy</c:v>
                </c:pt>
                <c:pt idx="5">
                  <c:v>Ida</c:v>
                </c:pt>
                <c:pt idx="6">
                  <c:v>Inherent Vice</c:v>
                </c:pt>
                <c:pt idx="7">
                  <c:v>Interstellar</c:v>
                </c:pt>
                <c:pt idx="8">
                  <c:v>Into the Woods</c:v>
                </c:pt>
                <c:pt idx="9">
                  <c:v>Mr. Turner</c:v>
                </c:pt>
                <c:pt idx="10">
                  <c:v>Selma</c:v>
                </c:pt>
                <c:pt idx="11">
                  <c:v>The Grand Budapest Hotel</c:v>
                </c:pt>
                <c:pt idx="12">
                  <c:v>The Imitation Game</c:v>
                </c:pt>
                <c:pt idx="13">
                  <c:v>The Theory of Everything</c:v>
                </c:pt>
                <c:pt idx="14">
                  <c:v>Unbroken</c:v>
                </c:pt>
                <c:pt idx="15">
                  <c:v>Whiplash</c:v>
                </c:pt>
              </c:strCache>
            </c:strRef>
          </c:cat>
          <c:val>
            <c:numRef>
              <c:f>'Awards 2015'!$B$4:$B$19</c:f>
              <c:numCache>
                <c:formatCode>General</c:formatCode>
                <c:ptCount val="16"/>
                <c:pt idx="0">
                  <c:v>6</c:v>
                </c:pt>
                <c:pt idx="1">
                  <c:v>9</c:v>
                </c:pt>
                <c:pt idx="2">
                  <c:v>6</c:v>
                </c:pt>
                <c:pt idx="3">
                  <c:v>5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5</c:v>
                </c:pt>
                <c:pt idx="8">
                  <c:v>3</c:v>
                </c:pt>
                <c:pt idx="9">
                  <c:v>4</c:v>
                </c:pt>
                <c:pt idx="10">
                  <c:v>2</c:v>
                </c:pt>
                <c:pt idx="11">
                  <c:v>9</c:v>
                </c:pt>
                <c:pt idx="12">
                  <c:v>8</c:v>
                </c:pt>
                <c:pt idx="13">
                  <c:v>5</c:v>
                </c:pt>
                <c:pt idx="14">
                  <c:v>3</c:v>
                </c:pt>
                <c:pt idx="15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CF-4C01-820B-7BF1E44B4CBB}"/>
            </c:ext>
          </c:extLst>
        </c:ser>
        <c:ser>
          <c:idx val="1"/>
          <c:order val="1"/>
          <c:tx>
            <c:strRef>
              <c:f>'Awards 2015'!$C$3</c:f>
              <c:strCache>
                <c:ptCount val="1"/>
                <c:pt idx="0">
                  <c:v>Wins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'Awards 2015'!$A$4:$A$19</c:f>
              <c:strCache>
                <c:ptCount val="16"/>
                <c:pt idx="0">
                  <c:v>American Sniper</c:v>
                </c:pt>
                <c:pt idx="1">
                  <c:v>Birdman</c:v>
                </c:pt>
                <c:pt idx="2">
                  <c:v>Boyhood</c:v>
                </c:pt>
                <c:pt idx="3">
                  <c:v>Foxcatcher</c:v>
                </c:pt>
                <c:pt idx="4">
                  <c:v>Guardians of the Galaxy</c:v>
                </c:pt>
                <c:pt idx="5">
                  <c:v>Ida</c:v>
                </c:pt>
                <c:pt idx="6">
                  <c:v>Inherent Vice</c:v>
                </c:pt>
                <c:pt idx="7">
                  <c:v>Interstellar</c:v>
                </c:pt>
                <c:pt idx="8">
                  <c:v>Into the Woods</c:v>
                </c:pt>
                <c:pt idx="9">
                  <c:v>Mr. Turner</c:v>
                </c:pt>
                <c:pt idx="10">
                  <c:v>Selma</c:v>
                </c:pt>
                <c:pt idx="11">
                  <c:v>The Grand Budapest Hotel</c:v>
                </c:pt>
                <c:pt idx="12">
                  <c:v>The Imitation Game</c:v>
                </c:pt>
                <c:pt idx="13">
                  <c:v>The Theory of Everything</c:v>
                </c:pt>
                <c:pt idx="14">
                  <c:v>Unbroken</c:v>
                </c:pt>
                <c:pt idx="15">
                  <c:v>Whiplash</c:v>
                </c:pt>
              </c:strCache>
            </c:strRef>
          </c:cat>
          <c:val>
            <c:numRef>
              <c:f>'Awards 2015'!$C$4:$C$19</c:f>
              <c:numCache>
                <c:formatCode>General</c:formatCode>
                <c:ptCount val="16"/>
                <c:pt idx="0">
                  <c:v>1</c:v>
                </c:pt>
                <c:pt idx="1">
                  <c:v>4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4</c:v>
                </c:pt>
                <c:pt idx="12">
                  <c:v>1</c:v>
                </c:pt>
                <c:pt idx="13">
                  <c:v>1</c:v>
                </c:pt>
                <c:pt idx="14">
                  <c:v>0</c:v>
                </c:pt>
                <c:pt idx="15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6CF-4C01-820B-7BF1E44B4C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524236472"/>
        <c:axId val="524229912"/>
        <c:axId val="0"/>
      </c:bar3DChart>
      <c:catAx>
        <c:axId val="5242364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Film Name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24229912"/>
        <c:crosses val="autoZero"/>
        <c:auto val="1"/>
        <c:lblAlgn val="ctr"/>
        <c:lblOffset val="100"/>
        <c:noMultiLvlLbl val="0"/>
      </c:catAx>
      <c:valAx>
        <c:axId val="52422991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Quantity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24236472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'Awards 2015'!$B$3</c:f>
              <c:strCache>
                <c:ptCount val="1"/>
                <c:pt idx="0">
                  <c:v>Nominations</c:v>
                </c:pt>
              </c:strCache>
            </c:strRef>
          </c:tx>
          <c:invertIfNegative val="0"/>
          <c:cat>
            <c:strRef>
              <c:f>('Awards 2015'!$A$4:$A$6,'Awards 2015'!$A$9,'Awards 2015'!$A$11,'Awards 2015'!$A$14:$A$17,'Awards 2015'!$A$19)</c:f>
              <c:strCache>
                <c:ptCount val="10"/>
                <c:pt idx="0">
                  <c:v>American Sniper</c:v>
                </c:pt>
                <c:pt idx="1">
                  <c:v>Birdman</c:v>
                </c:pt>
                <c:pt idx="2">
                  <c:v>Boyhood</c:v>
                </c:pt>
                <c:pt idx="3">
                  <c:v>Ida</c:v>
                </c:pt>
                <c:pt idx="4">
                  <c:v>Interstellar</c:v>
                </c:pt>
                <c:pt idx="5">
                  <c:v>Selma</c:v>
                </c:pt>
                <c:pt idx="6">
                  <c:v>The Grand Budapest Hotel</c:v>
                </c:pt>
                <c:pt idx="7">
                  <c:v>The Imitation Game</c:v>
                </c:pt>
                <c:pt idx="8">
                  <c:v>The Theory of Everything</c:v>
                </c:pt>
                <c:pt idx="9">
                  <c:v>Whiplash</c:v>
                </c:pt>
              </c:strCache>
            </c:strRef>
          </c:cat>
          <c:val>
            <c:numRef>
              <c:f>('Awards 2015'!$B$4:$B$6,'Awards 2015'!$B$9,'Awards 2015'!$B$11,'Awards 2015'!$B$14:$B$17,'Awards 2015'!$B$19)</c:f>
              <c:numCache>
                <c:formatCode>General</c:formatCode>
                <c:ptCount val="10"/>
                <c:pt idx="0">
                  <c:v>6</c:v>
                </c:pt>
                <c:pt idx="1">
                  <c:v>9</c:v>
                </c:pt>
                <c:pt idx="2">
                  <c:v>6</c:v>
                </c:pt>
                <c:pt idx="3">
                  <c:v>2</c:v>
                </c:pt>
                <c:pt idx="4">
                  <c:v>5</c:v>
                </c:pt>
                <c:pt idx="5">
                  <c:v>2</c:v>
                </c:pt>
                <c:pt idx="6">
                  <c:v>9</c:v>
                </c:pt>
                <c:pt idx="7">
                  <c:v>8</c:v>
                </c:pt>
                <c:pt idx="8">
                  <c:v>5</c:v>
                </c:pt>
                <c:pt idx="9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38-45AD-81C8-BE8C5C3DF95B}"/>
            </c:ext>
          </c:extLst>
        </c:ser>
        <c:ser>
          <c:idx val="1"/>
          <c:order val="1"/>
          <c:tx>
            <c:strRef>
              <c:f>'Awards 2015'!$C$3</c:f>
              <c:strCache>
                <c:ptCount val="1"/>
                <c:pt idx="0">
                  <c:v>Wins</c:v>
                </c:pt>
              </c:strCache>
            </c:strRef>
          </c:tx>
          <c:invertIfNegative val="0"/>
          <c:cat>
            <c:strRef>
              <c:f>('Awards 2015'!$A$4:$A$6,'Awards 2015'!$A$9,'Awards 2015'!$A$11,'Awards 2015'!$A$14:$A$17,'Awards 2015'!$A$19)</c:f>
              <c:strCache>
                <c:ptCount val="10"/>
                <c:pt idx="0">
                  <c:v>American Sniper</c:v>
                </c:pt>
                <c:pt idx="1">
                  <c:v>Birdman</c:v>
                </c:pt>
                <c:pt idx="2">
                  <c:v>Boyhood</c:v>
                </c:pt>
                <c:pt idx="3">
                  <c:v>Ida</c:v>
                </c:pt>
                <c:pt idx="4">
                  <c:v>Interstellar</c:v>
                </c:pt>
                <c:pt idx="5">
                  <c:v>Selma</c:v>
                </c:pt>
                <c:pt idx="6">
                  <c:v>The Grand Budapest Hotel</c:v>
                </c:pt>
                <c:pt idx="7">
                  <c:v>The Imitation Game</c:v>
                </c:pt>
                <c:pt idx="8">
                  <c:v>The Theory of Everything</c:v>
                </c:pt>
                <c:pt idx="9">
                  <c:v>Whiplash</c:v>
                </c:pt>
              </c:strCache>
            </c:strRef>
          </c:cat>
          <c:val>
            <c:numRef>
              <c:f>('Awards 2015'!$C$4:$C$6,'Awards 2015'!$C$9,'Awards 2015'!$C$11,'Awards 2015'!$C$14:$C$17,'Awards 2015'!$C$19)</c:f>
              <c:numCache>
                <c:formatCode>General</c:formatCode>
                <c:ptCount val="10"/>
                <c:pt idx="0">
                  <c:v>1</c:v>
                </c:pt>
                <c:pt idx="1">
                  <c:v>4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4</c:v>
                </c:pt>
                <c:pt idx="7">
                  <c:v>1</c:v>
                </c:pt>
                <c:pt idx="8">
                  <c:v>1</c:v>
                </c:pt>
                <c:pt idx="9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38-45AD-81C8-BE8C5C3DF9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67591200"/>
        <c:axId val="567593824"/>
      </c:barChart>
      <c:catAx>
        <c:axId val="5675912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67593824"/>
        <c:crosses val="autoZero"/>
        <c:auto val="1"/>
        <c:lblAlgn val="ctr"/>
        <c:lblOffset val="100"/>
        <c:noMultiLvlLbl val="0"/>
      </c:catAx>
      <c:valAx>
        <c:axId val="5675938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67591200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5EB69DC6-42E5-4EC4-838C-516BEC55F9A0}">
  <sheetPr codeName="Chart20"/>
  <sheetViews>
    <sheetView zoomScale="90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C13F50A-C845-4AD9-80C3-1DEB9C43DE47}">
  <sheetPr codeName="Chart21"/>
  <sheetViews>
    <sheetView zoomScale="90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0A426E-6070-4F35-A3DD-FE8378272521}">
  <sheetPr codeName="Chart1"/>
  <sheetViews>
    <sheetView tabSelected="1" zoomScale="90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CBD6BF0-DC5C-49DA-8E23-DBF0C0BA032A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EF6DFE7-B5E6-4037-8331-36E3E90DC105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54F871F-B7E8-4F3B-9A51-1D81210A1759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sMenu"/>
  <dimension ref="A1"/>
  <sheetViews>
    <sheetView zoomScaleNormal="100" workbookViewId="0"/>
  </sheetViews>
  <sheetFormatPr defaultRowHeight="14.4" x14ac:dyDescent="0.3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wsAwards15"/>
  <dimension ref="A1:C19"/>
  <sheetViews>
    <sheetView zoomScaleNormal="100" workbookViewId="0">
      <selection activeCell="A3" sqref="A3:C6 A9:C9 A11:C11 A14:C17 A19:C19"/>
    </sheetView>
  </sheetViews>
  <sheetFormatPr defaultRowHeight="14.4" x14ac:dyDescent="0.3"/>
  <cols>
    <col min="1" max="1" width="24.44140625" bestFit="1" customWidth="1"/>
    <col min="2" max="2" width="12.44140625" style="1" bestFit="1" customWidth="1"/>
    <col min="3" max="3" width="9.109375" style="1"/>
  </cols>
  <sheetData>
    <row r="1" spans="1:3" ht="15.6" x14ac:dyDescent="0.3">
      <c r="A1" s="2" t="s">
        <v>19</v>
      </c>
      <c r="B1" s="3"/>
      <c r="C1" s="3"/>
    </row>
    <row r="2" spans="1:3" ht="15.6" x14ac:dyDescent="0.3">
      <c r="A2" s="2"/>
      <c r="B2" s="3"/>
      <c r="C2" s="3"/>
    </row>
    <row r="3" spans="1:3" x14ac:dyDescent="0.3">
      <c r="A3" s="4" t="s">
        <v>1</v>
      </c>
      <c r="B3" s="5" t="s">
        <v>0</v>
      </c>
      <c r="C3" s="5" t="s">
        <v>18</v>
      </c>
    </row>
    <row r="4" spans="1:3" x14ac:dyDescent="0.3">
      <c r="A4" t="s">
        <v>4</v>
      </c>
      <c r="B4" s="1">
        <v>6</v>
      </c>
      <c r="C4" s="1">
        <v>1</v>
      </c>
    </row>
    <row r="5" spans="1:3" x14ac:dyDescent="0.3">
      <c r="A5" t="s">
        <v>17</v>
      </c>
      <c r="B5" s="1">
        <v>9</v>
      </c>
      <c r="C5" s="1">
        <v>4</v>
      </c>
    </row>
    <row r="6" spans="1:3" x14ac:dyDescent="0.3">
      <c r="A6" t="s">
        <v>5</v>
      </c>
      <c r="B6" s="1">
        <v>6</v>
      </c>
      <c r="C6" s="1">
        <v>1</v>
      </c>
    </row>
    <row r="7" spans="1:3" x14ac:dyDescent="0.3">
      <c r="A7" t="s">
        <v>6</v>
      </c>
      <c r="B7" s="1">
        <v>5</v>
      </c>
      <c r="C7" s="1">
        <v>0</v>
      </c>
    </row>
    <row r="8" spans="1:3" x14ac:dyDescent="0.3">
      <c r="A8" t="s">
        <v>13</v>
      </c>
      <c r="B8" s="1">
        <v>2</v>
      </c>
      <c r="C8" s="1">
        <v>0</v>
      </c>
    </row>
    <row r="9" spans="1:3" x14ac:dyDescent="0.3">
      <c r="A9" t="s">
        <v>14</v>
      </c>
      <c r="B9" s="1">
        <v>2</v>
      </c>
      <c r="C9" s="1">
        <v>1</v>
      </c>
    </row>
    <row r="10" spans="1:3" x14ac:dyDescent="0.3">
      <c r="A10" t="s">
        <v>15</v>
      </c>
      <c r="B10" s="1">
        <v>2</v>
      </c>
      <c r="C10" s="1">
        <v>0</v>
      </c>
    </row>
    <row r="11" spans="1:3" x14ac:dyDescent="0.3">
      <c r="A11" t="s">
        <v>7</v>
      </c>
      <c r="B11" s="1">
        <v>5</v>
      </c>
      <c r="C11" s="1">
        <v>1</v>
      </c>
    </row>
    <row r="12" spans="1:3" x14ac:dyDescent="0.3">
      <c r="A12" t="s">
        <v>11</v>
      </c>
      <c r="B12" s="1">
        <v>3</v>
      </c>
      <c r="C12" s="1">
        <v>0</v>
      </c>
    </row>
    <row r="13" spans="1:3" x14ac:dyDescent="0.3">
      <c r="A13" t="s">
        <v>10</v>
      </c>
      <c r="B13" s="1">
        <v>4</v>
      </c>
      <c r="C13" s="1">
        <v>0</v>
      </c>
    </row>
    <row r="14" spans="1:3" x14ac:dyDescent="0.3">
      <c r="A14" t="s">
        <v>16</v>
      </c>
      <c r="B14" s="1">
        <v>2</v>
      </c>
      <c r="C14" s="1">
        <v>1</v>
      </c>
    </row>
    <row r="15" spans="1:3" x14ac:dyDescent="0.3">
      <c r="A15" t="s">
        <v>2</v>
      </c>
      <c r="B15" s="1">
        <v>9</v>
      </c>
      <c r="C15" s="1">
        <v>4</v>
      </c>
    </row>
    <row r="16" spans="1:3" x14ac:dyDescent="0.3">
      <c r="A16" t="s">
        <v>3</v>
      </c>
      <c r="B16" s="1">
        <v>8</v>
      </c>
      <c r="C16" s="1">
        <v>1</v>
      </c>
    </row>
    <row r="17" spans="1:3" x14ac:dyDescent="0.3">
      <c r="A17" t="s">
        <v>8</v>
      </c>
      <c r="B17" s="1">
        <v>5</v>
      </c>
      <c r="C17" s="1">
        <v>1</v>
      </c>
    </row>
    <row r="18" spans="1:3" x14ac:dyDescent="0.3">
      <c r="A18" t="s">
        <v>12</v>
      </c>
      <c r="B18" s="1">
        <v>3</v>
      </c>
      <c r="C18" s="1">
        <v>0</v>
      </c>
    </row>
    <row r="19" spans="1:3" x14ac:dyDescent="0.3">
      <c r="A19" t="s">
        <v>9</v>
      </c>
      <c r="B19" s="1">
        <v>5</v>
      </c>
      <c r="C19" s="1">
        <v>3</v>
      </c>
    </row>
  </sheetData>
  <sortState xmlns:xlrd2="http://schemas.microsoft.com/office/spreadsheetml/2017/richdata2" ref="A2:C17">
    <sortCondition ref="A2"/>
  </sortState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sAwards16"/>
  <dimension ref="A1:C24"/>
  <sheetViews>
    <sheetView zoomScaleNormal="100" workbookViewId="0">
      <selection activeCell="A3" sqref="A3:C3 A8:C8 A11:C11 A16:C16"/>
    </sheetView>
  </sheetViews>
  <sheetFormatPr defaultRowHeight="14.4" x14ac:dyDescent="0.3"/>
  <cols>
    <col min="1" max="1" width="28.44140625" customWidth="1"/>
    <col min="2" max="2" width="12.88671875" style="1" customWidth="1"/>
    <col min="3" max="3" width="8.88671875" style="1" customWidth="1"/>
  </cols>
  <sheetData>
    <row r="1" spans="1:3" ht="15.6" x14ac:dyDescent="0.3">
      <c r="A1" s="2" t="s">
        <v>73</v>
      </c>
      <c r="B1" s="3"/>
      <c r="C1" s="3"/>
    </row>
    <row r="2" spans="1:3" ht="15.6" x14ac:dyDescent="0.3">
      <c r="A2" s="2"/>
      <c r="B2" s="3"/>
      <c r="C2" s="3"/>
    </row>
    <row r="3" spans="1:3" x14ac:dyDescent="0.3">
      <c r="A3" s="4" t="s">
        <v>1</v>
      </c>
      <c r="B3" s="5" t="s">
        <v>0</v>
      </c>
      <c r="C3" s="5" t="s">
        <v>18</v>
      </c>
    </row>
    <row r="4" spans="1:3" x14ac:dyDescent="0.3">
      <c r="A4" t="s">
        <v>74</v>
      </c>
      <c r="B4" s="1">
        <v>1</v>
      </c>
      <c r="C4" s="1">
        <v>1</v>
      </c>
    </row>
    <row r="5" spans="1:3" x14ac:dyDescent="0.3">
      <c r="A5" t="s">
        <v>75</v>
      </c>
      <c r="B5" s="1">
        <v>5</v>
      </c>
      <c r="C5" s="1">
        <v>1</v>
      </c>
    </row>
    <row r="6" spans="1:3" x14ac:dyDescent="0.3">
      <c r="A6" t="s">
        <v>76</v>
      </c>
      <c r="B6" s="1">
        <v>6</v>
      </c>
      <c r="C6" s="1">
        <v>1</v>
      </c>
    </row>
    <row r="7" spans="1:3" x14ac:dyDescent="0.3">
      <c r="A7" t="s">
        <v>77</v>
      </c>
      <c r="B7" s="1">
        <v>3</v>
      </c>
      <c r="C7" s="1">
        <v>0</v>
      </c>
    </row>
    <row r="8" spans="1:3" x14ac:dyDescent="0.3">
      <c r="A8" t="s">
        <v>78</v>
      </c>
      <c r="B8" s="1">
        <v>6</v>
      </c>
      <c r="C8" s="1">
        <v>0</v>
      </c>
    </row>
    <row r="9" spans="1:3" x14ac:dyDescent="0.3">
      <c r="A9" t="s">
        <v>79</v>
      </c>
      <c r="B9" s="1">
        <v>1</v>
      </c>
      <c r="C9" s="1">
        <v>0</v>
      </c>
    </row>
    <row r="10" spans="1:3" x14ac:dyDescent="0.3">
      <c r="A10" t="s">
        <v>80</v>
      </c>
      <c r="B10" s="1">
        <v>4</v>
      </c>
      <c r="C10" s="1">
        <v>1</v>
      </c>
    </row>
    <row r="11" spans="1:3" x14ac:dyDescent="0.3">
      <c r="A11" t="s">
        <v>81</v>
      </c>
      <c r="B11" s="1">
        <v>1</v>
      </c>
      <c r="C11" s="1">
        <v>0</v>
      </c>
    </row>
    <row r="12" spans="1:3" x14ac:dyDescent="0.3">
      <c r="A12" t="s">
        <v>82</v>
      </c>
      <c r="B12" s="1">
        <v>1</v>
      </c>
      <c r="C12" s="1">
        <v>0</v>
      </c>
    </row>
    <row r="13" spans="1:3" x14ac:dyDescent="0.3">
      <c r="A13" t="s">
        <v>83</v>
      </c>
      <c r="B13" s="1">
        <v>3</v>
      </c>
      <c r="C13" s="1">
        <v>1</v>
      </c>
    </row>
    <row r="14" spans="1:3" x14ac:dyDescent="0.3">
      <c r="A14" t="s">
        <v>20</v>
      </c>
      <c r="B14" s="1">
        <v>2</v>
      </c>
      <c r="C14" s="1">
        <v>1</v>
      </c>
    </row>
    <row r="15" spans="1:3" x14ac:dyDescent="0.3">
      <c r="A15" t="s">
        <v>84</v>
      </c>
      <c r="B15" s="1">
        <v>10</v>
      </c>
      <c r="C15" s="1">
        <v>6</v>
      </c>
    </row>
    <row r="16" spans="1:3" x14ac:dyDescent="0.3">
      <c r="A16" t="s">
        <v>85</v>
      </c>
      <c r="B16" s="1">
        <v>7</v>
      </c>
      <c r="C16" s="1">
        <v>0</v>
      </c>
    </row>
    <row r="17" spans="1:3" x14ac:dyDescent="0.3">
      <c r="A17" t="s">
        <v>86</v>
      </c>
      <c r="B17" s="1">
        <v>12</v>
      </c>
      <c r="C17" s="1">
        <v>3</v>
      </c>
    </row>
    <row r="18" spans="1:3" x14ac:dyDescent="0.3">
      <c r="A18" t="s">
        <v>87</v>
      </c>
      <c r="B18" s="1">
        <v>4</v>
      </c>
      <c r="C18" s="1">
        <v>1</v>
      </c>
    </row>
    <row r="19" spans="1:3" x14ac:dyDescent="0.3">
      <c r="A19" t="s">
        <v>88</v>
      </c>
      <c r="B19" s="1">
        <v>3</v>
      </c>
      <c r="C19" s="1">
        <v>0</v>
      </c>
    </row>
    <row r="20" spans="1:3" x14ac:dyDescent="0.3">
      <c r="A20" t="s">
        <v>25</v>
      </c>
      <c r="B20" s="1">
        <v>1</v>
      </c>
      <c r="C20" s="1">
        <v>1</v>
      </c>
    </row>
    <row r="21" spans="1:3" x14ac:dyDescent="0.3">
      <c r="A21" t="s">
        <v>89</v>
      </c>
      <c r="B21" s="1">
        <v>6</v>
      </c>
      <c r="C21" s="1">
        <v>2</v>
      </c>
    </row>
    <row r="22" spans="1:3" x14ac:dyDescent="0.3">
      <c r="A22" t="s">
        <v>62</v>
      </c>
      <c r="B22" s="1">
        <v>5</v>
      </c>
      <c r="C22" s="1">
        <v>0</v>
      </c>
    </row>
    <row r="23" spans="1:3" x14ac:dyDescent="0.3">
      <c r="A23" t="s">
        <v>90</v>
      </c>
      <c r="B23" s="1">
        <v>2</v>
      </c>
      <c r="C23" s="1">
        <v>0</v>
      </c>
    </row>
    <row r="24" spans="1:3" x14ac:dyDescent="0.3">
      <c r="A24" t="s">
        <v>91</v>
      </c>
      <c r="B24" s="1">
        <v>1</v>
      </c>
      <c r="C24" s="1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wsMoney"/>
  <dimension ref="A1:K53"/>
  <sheetViews>
    <sheetView zoomScale="80" zoomScaleNormal="80" workbookViewId="0">
      <selection activeCell="A3" sqref="A3"/>
    </sheetView>
  </sheetViews>
  <sheetFormatPr defaultRowHeight="14.4" x14ac:dyDescent="0.3"/>
  <cols>
    <col min="2" max="2" width="47.88671875" bestFit="1" customWidth="1"/>
    <col min="3" max="3" width="17.109375" customWidth="1"/>
    <col min="5" max="5" width="11" bestFit="1" customWidth="1"/>
    <col min="10" max="10" width="17.5546875" customWidth="1"/>
    <col min="11" max="11" width="17.109375" customWidth="1"/>
    <col min="14" max="14" width="11" bestFit="1" customWidth="1"/>
  </cols>
  <sheetData>
    <row r="1" spans="1:11" ht="15.6" x14ac:dyDescent="0.3">
      <c r="A1" s="2" t="s">
        <v>69</v>
      </c>
      <c r="B1" s="3"/>
      <c r="C1" s="3"/>
      <c r="D1" s="3"/>
      <c r="H1" s="2" t="s">
        <v>69</v>
      </c>
      <c r="I1" s="3"/>
      <c r="J1" s="3"/>
      <c r="K1" s="3"/>
    </row>
    <row r="2" spans="1:11" ht="15.6" x14ac:dyDescent="0.3">
      <c r="A2" s="2"/>
      <c r="B2" s="3"/>
      <c r="C2" s="3"/>
      <c r="D2" s="3"/>
      <c r="H2" s="2"/>
      <c r="I2" s="3"/>
      <c r="J2" s="3"/>
      <c r="K2" s="3"/>
    </row>
    <row r="3" spans="1:11" x14ac:dyDescent="0.3">
      <c r="A3" s="4" t="s">
        <v>68</v>
      </c>
      <c r="B3" s="5" t="s">
        <v>67</v>
      </c>
      <c r="C3" s="5" t="s">
        <v>66</v>
      </c>
      <c r="D3" s="4" t="s">
        <v>65</v>
      </c>
      <c r="H3" s="4" t="s">
        <v>65</v>
      </c>
      <c r="I3" s="4" t="s">
        <v>70</v>
      </c>
      <c r="J3" s="4" t="s">
        <v>72</v>
      </c>
      <c r="K3" s="4" t="s">
        <v>71</v>
      </c>
    </row>
    <row r="4" spans="1:11" x14ac:dyDescent="0.3">
      <c r="A4">
        <v>1</v>
      </c>
      <c r="B4" t="s">
        <v>64</v>
      </c>
      <c r="C4" s="6">
        <v>2787965087</v>
      </c>
      <c r="D4">
        <v>2009</v>
      </c>
      <c r="H4">
        <v>1993</v>
      </c>
      <c r="I4">
        <f>COUNTIF($D$4:$D$53,H4)</f>
        <v>1</v>
      </c>
      <c r="J4" s="6">
        <f>SUMIF($D$4:$D$53,$H4,$C$4:$C$53)</f>
        <v>1029939903</v>
      </c>
      <c r="K4" s="6">
        <f>IFERROR(AVERAGEIF($D$4:$D$53,$H4,$C$4:$C$53),0)</f>
        <v>1029939903</v>
      </c>
    </row>
    <row r="5" spans="1:11" x14ac:dyDescent="0.3">
      <c r="A5">
        <v>2</v>
      </c>
      <c r="B5" t="s">
        <v>63</v>
      </c>
      <c r="C5" s="6">
        <v>2186772302</v>
      </c>
      <c r="D5">
        <v>1997</v>
      </c>
      <c r="H5">
        <v>1994</v>
      </c>
      <c r="I5">
        <f t="shared" ref="I5:I27" si="0">COUNTIF($D$4:$D$53,H5)</f>
        <v>1</v>
      </c>
      <c r="J5" s="6">
        <f t="shared" ref="J5:J27" si="1">SUMIF($D$4:$D$53,$H5,$C$4:$C$53)</f>
        <v>968483777</v>
      </c>
      <c r="K5" s="6">
        <f t="shared" ref="K5:K27" si="2">IFERROR(AVERAGEIF($D$4:$D$53,$H5,$C$4:$C$53),0)</f>
        <v>968483777</v>
      </c>
    </row>
    <row r="6" spans="1:11" x14ac:dyDescent="0.3">
      <c r="A6">
        <v>3</v>
      </c>
      <c r="B6" t="s">
        <v>62</v>
      </c>
      <c r="C6" s="6">
        <v>2068223624</v>
      </c>
      <c r="D6">
        <v>2015</v>
      </c>
      <c r="H6">
        <v>1995</v>
      </c>
      <c r="I6">
        <f>COUNTIF($D$4:$D$53,H6)</f>
        <v>0</v>
      </c>
      <c r="J6" s="6">
        <f t="shared" si="1"/>
        <v>0</v>
      </c>
      <c r="K6" s="6">
        <f t="shared" si="2"/>
        <v>0</v>
      </c>
    </row>
    <row r="7" spans="1:11" x14ac:dyDescent="0.3">
      <c r="A7">
        <v>4</v>
      </c>
      <c r="B7" t="s">
        <v>61</v>
      </c>
      <c r="C7" s="6">
        <v>1670400637</v>
      </c>
      <c r="D7">
        <v>2015</v>
      </c>
      <c r="H7">
        <v>1996</v>
      </c>
      <c r="I7">
        <f t="shared" si="0"/>
        <v>0</v>
      </c>
      <c r="J7" s="6">
        <f t="shared" si="1"/>
        <v>0</v>
      </c>
      <c r="K7" s="6">
        <f t="shared" si="2"/>
        <v>0</v>
      </c>
    </row>
    <row r="8" spans="1:11" x14ac:dyDescent="0.3">
      <c r="A8">
        <v>5</v>
      </c>
      <c r="B8" t="s">
        <v>60</v>
      </c>
      <c r="C8" s="6">
        <v>1518812988</v>
      </c>
      <c r="D8">
        <v>2012</v>
      </c>
      <c r="H8">
        <v>1997</v>
      </c>
      <c r="I8">
        <f t="shared" si="0"/>
        <v>1</v>
      </c>
      <c r="J8" s="6">
        <f t="shared" si="1"/>
        <v>2186772302</v>
      </c>
      <c r="K8" s="6">
        <f t="shared" si="2"/>
        <v>2186772302</v>
      </c>
    </row>
    <row r="9" spans="1:11" x14ac:dyDescent="0.3">
      <c r="A9">
        <v>6</v>
      </c>
      <c r="B9" t="s">
        <v>59</v>
      </c>
      <c r="C9" s="6">
        <v>1516045911</v>
      </c>
      <c r="D9">
        <v>2015</v>
      </c>
      <c r="H9">
        <v>1998</v>
      </c>
      <c r="I9">
        <f t="shared" si="0"/>
        <v>0</v>
      </c>
      <c r="J9" s="6">
        <f t="shared" si="1"/>
        <v>0</v>
      </c>
      <c r="K9" s="6">
        <f t="shared" si="2"/>
        <v>0</v>
      </c>
    </row>
    <row r="10" spans="1:11" x14ac:dyDescent="0.3">
      <c r="A10">
        <v>7</v>
      </c>
      <c r="B10" t="s">
        <v>58</v>
      </c>
      <c r="C10" s="6">
        <v>1405413868</v>
      </c>
      <c r="D10">
        <v>2015</v>
      </c>
      <c r="H10">
        <v>1999</v>
      </c>
      <c r="I10">
        <f t="shared" si="0"/>
        <v>1</v>
      </c>
      <c r="J10" s="6">
        <f t="shared" si="1"/>
        <v>1027044677</v>
      </c>
      <c r="K10" s="6">
        <f t="shared" si="2"/>
        <v>1027044677</v>
      </c>
    </row>
    <row r="11" spans="1:11" x14ac:dyDescent="0.3">
      <c r="A11">
        <v>8</v>
      </c>
      <c r="B11" t="s">
        <v>57</v>
      </c>
      <c r="C11" s="6">
        <v>1341511219</v>
      </c>
      <c r="D11">
        <v>2011</v>
      </c>
      <c r="H11">
        <v>2000</v>
      </c>
      <c r="I11">
        <f t="shared" si="0"/>
        <v>0</v>
      </c>
      <c r="J11" s="6">
        <f t="shared" si="1"/>
        <v>0</v>
      </c>
      <c r="K11" s="6">
        <f t="shared" si="2"/>
        <v>0</v>
      </c>
    </row>
    <row r="12" spans="1:11" x14ac:dyDescent="0.3">
      <c r="A12">
        <v>9</v>
      </c>
      <c r="B12" t="s">
        <v>56</v>
      </c>
      <c r="C12" s="6">
        <v>1287000000</v>
      </c>
      <c r="D12">
        <v>2013</v>
      </c>
      <c r="H12">
        <v>2001</v>
      </c>
      <c r="I12">
        <f t="shared" si="0"/>
        <v>2</v>
      </c>
      <c r="J12" s="6">
        <f t="shared" si="1"/>
        <v>1846285695</v>
      </c>
      <c r="K12" s="6">
        <f t="shared" si="2"/>
        <v>923142847.5</v>
      </c>
    </row>
    <row r="13" spans="1:11" x14ac:dyDescent="0.3">
      <c r="A13">
        <v>10</v>
      </c>
      <c r="B13" t="s">
        <v>55</v>
      </c>
      <c r="C13" s="6">
        <v>1214811252</v>
      </c>
      <c r="D13">
        <v>2013</v>
      </c>
      <c r="H13">
        <v>2002</v>
      </c>
      <c r="I13">
        <f t="shared" si="0"/>
        <v>2</v>
      </c>
      <c r="J13" s="6">
        <f t="shared" si="1"/>
        <v>1805026745</v>
      </c>
      <c r="K13" s="6">
        <f t="shared" si="2"/>
        <v>902513372.5</v>
      </c>
    </row>
    <row r="14" spans="1:11" x14ac:dyDescent="0.3">
      <c r="A14">
        <v>11</v>
      </c>
      <c r="B14" t="s">
        <v>54</v>
      </c>
      <c r="C14" s="6">
        <v>1159398397</v>
      </c>
      <c r="D14">
        <v>2015</v>
      </c>
      <c r="H14">
        <v>2003</v>
      </c>
      <c r="I14">
        <f t="shared" si="0"/>
        <v>2</v>
      </c>
      <c r="J14" s="6">
        <f t="shared" si="1"/>
        <v>2060265057</v>
      </c>
      <c r="K14" s="6">
        <f t="shared" si="2"/>
        <v>1030132528.5</v>
      </c>
    </row>
    <row r="15" spans="1:11" x14ac:dyDescent="0.3">
      <c r="A15">
        <v>12</v>
      </c>
      <c r="B15" t="s">
        <v>96</v>
      </c>
      <c r="C15" s="6">
        <v>1153304495</v>
      </c>
      <c r="D15">
        <v>2016</v>
      </c>
      <c r="H15">
        <v>2004</v>
      </c>
      <c r="I15">
        <f t="shared" si="0"/>
        <v>1</v>
      </c>
      <c r="J15" s="6">
        <f t="shared" si="1"/>
        <v>919838758</v>
      </c>
      <c r="K15" s="6">
        <f t="shared" si="2"/>
        <v>919838758</v>
      </c>
    </row>
    <row r="16" spans="1:11" x14ac:dyDescent="0.3">
      <c r="A16">
        <v>13</v>
      </c>
      <c r="B16" t="s">
        <v>53</v>
      </c>
      <c r="C16" s="6">
        <v>1123794079</v>
      </c>
      <c r="D16">
        <v>2011</v>
      </c>
      <c r="H16">
        <v>2005</v>
      </c>
      <c r="I16">
        <f t="shared" si="0"/>
        <v>1</v>
      </c>
      <c r="J16" s="6">
        <f t="shared" si="1"/>
        <v>896911078</v>
      </c>
      <c r="K16" s="6">
        <f t="shared" si="2"/>
        <v>896911078</v>
      </c>
    </row>
    <row r="17" spans="1:11" x14ac:dyDescent="0.3">
      <c r="A17">
        <v>14</v>
      </c>
      <c r="B17" t="s">
        <v>52</v>
      </c>
      <c r="C17" s="6">
        <v>1119929521</v>
      </c>
      <c r="D17">
        <v>2003</v>
      </c>
      <c r="H17">
        <v>2006</v>
      </c>
      <c r="I17">
        <f t="shared" si="0"/>
        <v>1</v>
      </c>
      <c r="J17" s="6">
        <f t="shared" si="1"/>
        <v>1066179725</v>
      </c>
      <c r="K17" s="6">
        <f t="shared" si="2"/>
        <v>1066179725</v>
      </c>
    </row>
    <row r="18" spans="1:11" x14ac:dyDescent="0.3">
      <c r="A18">
        <v>15</v>
      </c>
      <c r="B18" t="s">
        <v>51</v>
      </c>
      <c r="C18" s="6">
        <v>1108561013</v>
      </c>
      <c r="D18">
        <v>2012</v>
      </c>
      <c r="H18">
        <v>2007</v>
      </c>
      <c r="I18">
        <f t="shared" si="0"/>
        <v>3</v>
      </c>
      <c r="J18" s="6">
        <f t="shared" si="1"/>
        <v>2794177980</v>
      </c>
      <c r="K18" s="6">
        <f t="shared" si="2"/>
        <v>931392660</v>
      </c>
    </row>
    <row r="19" spans="1:11" x14ac:dyDescent="0.3">
      <c r="A19">
        <v>16</v>
      </c>
      <c r="B19" t="s">
        <v>50</v>
      </c>
      <c r="C19" s="6">
        <v>1104054072</v>
      </c>
      <c r="D19">
        <v>2014</v>
      </c>
      <c r="H19">
        <v>2008</v>
      </c>
      <c r="I19">
        <f t="shared" si="0"/>
        <v>1</v>
      </c>
      <c r="J19" s="6">
        <f t="shared" si="1"/>
        <v>1004558444</v>
      </c>
      <c r="K19" s="6">
        <f t="shared" si="2"/>
        <v>1004558444</v>
      </c>
    </row>
    <row r="20" spans="1:11" x14ac:dyDescent="0.3">
      <c r="A20">
        <v>17</v>
      </c>
      <c r="B20" t="s">
        <v>49</v>
      </c>
      <c r="C20" s="6">
        <v>1084939099</v>
      </c>
      <c r="D20">
        <v>2012</v>
      </c>
      <c r="H20">
        <v>2009</v>
      </c>
      <c r="I20">
        <f t="shared" si="0"/>
        <v>3</v>
      </c>
      <c r="J20" s="6">
        <f t="shared" si="1"/>
        <v>4609068391</v>
      </c>
      <c r="K20" s="6">
        <f t="shared" si="2"/>
        <v>1536356130.3333333</v>
      </c>
    </row>
    <row r="21" spans="1:11" x14ac:dyDescent="0.3">
      <c r="A21">
        <v>18</v>
      </c>
      <c r="B21" t="s">
        <v>47</v>
      </c>
      <c r="C21" s="6">
        <v>1066969703</v>
      </c>
      <c r="D21">
        <v>2010</v>
      </c>
      <c r="H21">
        <v>2010</v>
      </c>
      <c r="I21">
        <f t="shared" si="0"/>
        <v>3</v>
      </c>
      <c r="J21" s="6">
        <f t="shared" si="1"/>
        <v>3052720118</v>
      </c>
      <c r="K21" s="6">
        <f t="shared" si="2"/>
        <v>1017573372.6666666</v>
      </c>
    </row>
    <row r="22" spans="1:11" x14ac:dyDescent="0.3">
      <c r="A22">
        <v>19</v>
      </c>
      <c r="B22" t="s">
        <v>48</v>
      </c>
      <c r="C22" s="6">
        <v>1066179725</v>
      </c>
      <c r="D22">
        <v>2006</v>
      </c>
      <c r="H22">
        <v>2011</v>
      </c>
      <c r="I22">
        <f t="shared" si="0"/>
        <v>3</v>
      </c>
      <c r="J22" s="6">
        <f t="shared" si="1"/>
        <v>3511019100</v>
      </c>
      <c r="K22" s="6">
        <f t="shared" si="2"/>
        <v>1170339700</v>
      </c>
    </row>
    <row r="23" spans="1:11" x14ac:dyDescent="0.3">
      <c r="A23">
        <v>20</v>
      </c>
      <c r="B23" t="s">
        <v>46</v>
      </c>
      <c r="C23" s="6">
        <v>1045713802</v>
      </c>
      <c r="D23">
        <v>2011</v>
      </c>
      <c r="H23">
        <v>2012</v>
      </c>
      <c r="I23">
        <f t="shared" si="0"/>
        <v>5</v>
      </c>
      <c r="J23" s="6">
        <f t="shared" si="1"/>
        <v>5610661450</v>
      </c>
      <c r="K23" s="6">
        <f t="shared" si="2"/>
        <v>1122132290</v>
      </c>
    </row>
    <row r="24" spans="1:11" x14ac:dyDescent="0.3">
      <c r="A24">
        <v>21</v>
      </c>
      <c r="B24" t="s">
        <v>45</v>
      </c>
      <c r="C24" s="6">
        <v>1029939903</v>
      </c>
      <c r="D24">
        <v>1993</v>
      </c>
      <c r="H24">
        <v>2013</v>
      </c>
      <c r="I24">
        <f t="shared" si="0"/>
        <v>5</v>
      </c>
      <c r="J24" s="6">
        <f t="shared" si="1"/>
        <v>5295951738</v>
      </c>
      <c r="K24" s="6">
        <f t="shared" si="2"/>
        <v>1059190347.6</v>
      </c>
    </row>
    <row r="25" spans="1:11" x14ac:dyDescent="0.3">
      <c r="A25">
        <v>22</v>
      </c>
      <c r="B25" t="s">
        <v>44</v>
      </c>
      <c r="C25" s="6">
        <v>1027044677</v>
      </c>
      <c r="D25">
        <v>1999</v>
      </c>
      <c r="H25">
        <v>2014</v>
      </c>
      <c r="I25">
        <f t="shared" si="0"/>
        <v>2</v>
      </c>
      <c r="J25" s="6">
        <f t="shared" si="1"/>
        <v>2060073860</v>
      </c>
      <c r="K25" s="6">
        <f t="shared" si="2"/>
        <v>1030036930</v>
      </c>
    </row>
    <row r="26" spans="1:11" x14ac:dyDescent="0.3">
      <c r="A26">
        <v>23</v>
      </c>
      <c r="B26" t="s">
        <v>43</v>
      </c>
      <c r="C26" s="6">
        <v>1025467110</v>
      </c>
      <c r="D26">
        <v>2010</v>
      </c>
      <c r="H26">
        <v>2015</v>
      </c>
      <c r="I26">
        <f t="shared" si="0"/>
        <v>6</v>
      </c>
      <c r="J26" s="6">
        <f t="shared" si="1"/>
        <v>8700157046</v>
      </c>
      <c r="K26" s="6">
        <f t="shared" si="2"/>
        <v>1450026174.3333333</v>
      </c>
    </row>
    <row r="27" spans="1:11" x14ac:dyDescent="0.3">
      <c r="A27">
        <v>24</v>
      </c>
      <c r="B27" t="s">
        <v>95</v>
      </c>
      <c r="C27" s="6">
        <v>1025424479</v>
      </c>
      <c r="D27">
        <v>2016</v>
      </c>
      <c r="H27">
        <v>2016</v>
      </c>
      <c r="I27">
        <f t="shared" si="0"/>
        <v>6</v>
      </c>
      <c r="J27" s="6">
        <f t="shared" si="1"/>
        <v>5915003004</v>
      </c>
      <c r="K27" s="6">
        <f t="shared" si="2"/>
        <v>985833834</v>
      </c>
    </row>
    <row r="28" spans="1:11" x14ac:dyDescent="0.3">
      <c r="A28">
        <v>25</v>
      </c>
      <c r="B28" t="s">
        <v>97</v>
      </c>
      <c r="C28" s="6">
        <v>1023754502</v>
      </c>
      <c r="D28">
        <v>2016</v>
      </c>
    </row>
    <row r="29" spans="1:11" x14ac:dyDescent="0.3">
      <c r="A29">
        <v>26</v>
      </c>
      <c r="B29" t="s">
        <v>42</v>
      </c>
      <c r="C29" s="6">
        <v>1021103568</v>
      </c>
      <c r="D29">
        <v>2012</v>
      </c>
    </row>
    <row r="30" spans="1:11" x14ac:dyDescent="0.3">
      <c r="A30">
        <v>27</v>
      </c>
      <c r="B30" t="s">
        <v>41</v>
      </c>
      <c r="C30" s="6">
        <v>1004558444</v>
      </c>
      <c r="D30">
        <v>2008</v>
      </c>
    </row>
    <row r="31" spans="1:11" x14ac:dyDescent="0.3">
      <c r="A31">
        <v>28</v>
      </c>
      <c r="B31" t="s">
        <v>39</v>
      </c>
      <c r="C31" s="6">
        <v>974755371</v>
      </c>
      <c r="D31">
        <v>2001</v>
      </c>
    </row>
    <row r="32" spans="1:11" x14ac:dyDescent="0.3">
      <c r="A32">
        <v>29</v>
      </c>
      <c r="B32" t="s">
        <v>38</v>
      </c>
      <c r="C32" s="6">
        <v>970761885</v>
      </c>
      <c r="D32">
        <v>2013</v>
      </c>
    </row>
    <row r="33" spans="1:4" x14ac:dyDescent="0.3">
      <c r="A33">
        <v>30</v>
      </c>
      <c r="B33" t="s">
        <v>40</v>
      </c>
      <c r="C33" s="6">
        <v>968483777</v>
      </c>
      <c r="D33">
        <v>1994</v>
      </c>
    </row>
    <row r="34" spans="1:4" x14ac:dyDescent="0.3">
      <c r="A34">
        <v>31</v>
      </c>
      <c r="B34" t="s">
        <v>94</v>
      </c>
      <c r="C34" s="6">
        <v>966522188</v>
      </c>
      <c r="D34">
        <v>2016</v>
      </c>
    </row>
    <row r="35" spans="1:4" x14ac:dyDescent="0.3">
      <c r="A35">
        <v>32</v>
      </c>
      <c r="B35" t="s">
        <v>37</v>
      </c>
      <c r="C35" s="6">
        <v>963420425</v>
      </c>
      <c r="D35">
        <v>2007</v>
      </c>
    </row>
    <row r="36" spans="1:4" x14ac:dyDescent="0.3">
      <c r="A36">
        <v>33</v>
      </c>
      <c r="B36" t="s">
        <v>36</v>
      </c>
      <c r="C36" s="6">
        <v>960283305</v>
      </c>
      <c r="D36">
        <v>2010</v>
      </c>
    </row>
    <row r="37" spans="1:4" x14ac:dyDescent="0.3">
      <c r="A37">
        <v>34</v>
      </c>
      <c r="B37" t="s">
        <v>35</v>
      </c>
      <c r="C37" s="6">
        <v>958366855</v>
      </c>
      <c r="D37">
        <v>2013</v>
      </c>
    </row>
    <row r="38" spans="1:4" x14ac:dyDescent="0.3">
      <c r="A38">
        <v>35</v>
      </c>
      <c r="B38" t="s">
        <v>34</v>
      </c>
      <c r="C38" s="6">
        <v>956019788</v>
      </c>
      <c r="D38">
        <v>2014</v>
      </c>
    </row>
    <row r="39" spans="1:4" x14ac:dyDescent="0.3">
      <c r="A39">
        <v>36</v>
      </c>
      <c r="B39" t="s">
        <v>32</v>
      </c>
      <c r="C39" s="6">
        <v>940335536</v>
      </c>
      <c r="D39">
        <v>2003</v>
      </c>
    </row>
    <row r="40" spans="1:4" x14ac:dyDescent="0.3">
      <c r="A40">
        <v>37</v>
      </c>
      <c r="B40" t="s">
        <v>33</v>
      </c>
      <c r="C40" s="6">
        <v>939885929</v>
      </c>
      <c r="D40">
        <v>2007</v>
      </c>
    </row>
    <row r="41" spans="1:4" x14ac:dyDescent="0.3">
      <c r="A41">
        <v>38</v>
      </c>
      <c r="B41" t="s">
        <v>31</v>
      </c>
      <c r="C41" s="6">
        <v>934416487</v>
      </c>
      <c r="D41">
        <v>2009</v>
      </c>
    </row>
    <row r="42" spans="1:4" x14ac:dyDescent="0.3">
      <c r="A42">
        <v>39</v>
      </c>
      <c r="B42" t="s">
        <v>30</v>
      </c>
      <c r="C42" s="6">
        <v>926047111</v>
      </c>
      <c r="D42">
        <v>2002</v>
      </c>
    </row>
    <row r="43" spans="1:4" x14ac:dyDescent="0.3">
      <c r="A43">
        <v>40</v>
      </c>
      <c r="B43" t="s">
        <v>29</v>
      </c>
      <c r="C43" s="6">
        <v>919838758</v>
      </c>
      <c r="D43">
        <v>2004</v>
      </c>
    </row>
    <row r="44" spans="1:4" x14ac:dyDescent="0.3">
      <c r="A44">
        <v>41</v>
      </c>
      <c r="B44" t="s">
        <v>28</v>
      </c>
      <c r="C44" s="6">
        <v>896911078</v>
      </c>
      <c r="D44">
        <v>2005</v>
      </c>
    </row>
    <row r="45" spans="1:4" x14ac:dyDescent="0.3">
      <c r="A45">
        <v>42</v>
      </c>
      <c r="B45" t="s">
        <v>27</v>
      </c>
      <c r="C45" s="6">
        <v>890871626</v>
      </c>
      <c r="D45">
        <v>2007</v>
      </c>
    </row>
    <row r="46" spans="1:4" x14ac:dyDescent="0.3">
      <c r="A46">
        <v>43</v>
      </c>
      <c r="B46" t="s">
        <v>26</v>
      </c>
      <c r="C46" s="6">
        <v>886686817</v>
      </c>
      <c r="D46">
        <v>2009</v>
      </c>
    </row>
    <row r="47" spans="1:4" x14ac:dyDescent="0.3">
      <c r="A47">
        <v>44</v>
      </c>
      <c r="B47" t="s">
        <v>25</v>
      </c>
      <c r="C47" s="6">
        <v>880674609</v>
      </c>
      <c r="D47">
        <v>2015</v>
      </c>
    </row>
    <row r="48" spans="1:4" x14ac:dyDescent="0.3">
      <c r="A48">
        <v>45</v>
      </c>
      <c r="B48" t="s">
        <v>24</v>
      </c>
      <c r="C48" s="6">
        <v>878979634</v>
      </c>
      <c r="D48">
        <v>2002</v>
      </c>
    </row>
    <row r="49" spans="1:4" x14ac:dyDescent="0.3">
      <c r="A49">
        <v>46</v>
      </c>
      <c r="B49" t="s">
        <v>23</v>
      </c>
      <c r="C49" s="6">
        <v>877244782</v>
      </c>
      <c r="D49">
        <v>2012</v>
      </c>
    </row>
    <row r="50" spans="1:4" x14ac:dyDescent="0.3">
      <c r="A50">
        <v>47</v>
      </c>
      <c r="B50" t="s">
        <v>92</v>
      </c>
      <c r="C50" s="6">
        <v>873260194</v>
      </c>
      <c r="D50">
        <v>2016</v>
      </c>
    </row>
    <row r="51" spans="1:4" x14ac:dyDescent="0.3">
      <c r="A51">
        <v>48</v>
      </c>
      <c r="B51" t="s">
        <v>93</v>
      </c>
      <c r="C51" s="6">
        <v>872737146</v>
      </c>
      <c r="D51">
        <v>2016</v>
      </c>
    </row>
    <row r="52" spans="1:4" x14ac:dyDescent="0.3">
      <c r="A52">
        <v>49</v>
      </c>
      <c r="B52" t="s">
        <v>22</v>
      </c>
      <c r="C52" s="6">
        <v>871530324</v>
      </c>
      <c r="D52">
        <v>2001</v>
      </c>
    </row>
    <row r="53" spans="1:4" x14ac:dyDescent="0.3">
      <c r="A53">
        <v>50</v>
      </c>
      <c r="B53" t="s">
        <v>21</v>
      </c>
      <c r="C53" s="6">
        <v>865011746</v>
      </c>
      <c r="D53">
        <v>2013</v>
      </c>
    </row>
  </sheetData>
  <sortState xmlns:xlrd2="http://schemas.microsoft.com/office/spreadsheetml/2017/richdata2" ref="H4:H22">
    <sortCondition ref="H4"/>
  </sortState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Charts</vt:lpstr>
      </vt:variant>
      <vt:variant>
        <vt:i4>3</vt:i4>
      </vt:variant>
    </vt:vector>
  </HeadingPairs>
  <TitlesOfParts>
    <vt:vector size="7" baseType="lpstr">
      <vt:lpstr>Menu</vt:lpstr>
      <vt:lpstr>Awards 2015</vt:lpstr>
      <vt:lpstr>Awards 2016</vt:lpstr>
      <vt:lpstr>Money</vt:lpstr>
      <vt:lpstr>Chart20</vt:lpstr>
      <vt:lpstr>Chart21</vt:lpstr>
      <vt:lpstr>Chart1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Andrew.Gould</dc:creator>
  <cp:lastModifiedBy>Apu</cp:lastModifiedBy>
  <dcterms:created xsi:type="dcterms:W3CDTF">2015-03-08T09:49:13Z</dcterms:created>
  <dcterms:modified xsi:type="dcterms:W3CDTF">2020-01-15T19:47:02Z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f525ce8d-7d25-45c3-87bf-f39b984ab402</vt:lpwstr>
  </property>
</Properties>
</file>