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u\Desktop\Excel VBA &amp; Macros Tutorials-Leila\GitHub\"/>
    </mc:Choice>
  </mc:AlternateContent>
  <xr:revisionPtr revIDLastSave="0" documentId="13_ncr:1_{F6473B22-FB98-4223-9F2B-26CF063F6F9C}" xr6:coauthVersionLast="45" xr6:coauthVersionMax="45" xr10:uidLastSave="{00000000-0000-0000-0000-000000000000}"/>
  <bookViews>
    <workbookView xWindow="-108" yWindow="-108" windowWidth="23256" windowHeight="12720" tabRatio="649" xr2:uid="{00000000-000D-0000-FFFF-FFFF00000000}"/>
  </bookViews>
  <sheets>
    <sheet name="PrintSheet" sheetId="2" r:id="rId1"/>
    <sheet name="Chart4" sheetId="20" r:id="rId2"/>
    <sheet name="Transpose" sheetId="13" r:id="rId3"/>
    <sheet name="Chart2" sheetId="21" r:id="rId4"/>
    <sheet name="InputForm" sheetId="11" r:id="rId5"/>
    <sheet name="SUM_Dates" sheetId="22" r:id="rId6"/>
    <sheet name="Chart1" sheetId="23" r:id="rId7"/>
    <sheet name="Report" sheetId="12" r:id="rId8"/>
  </sheets>
  <externalReferences>
    <externalReference r:id="rId9"/>
    <externalReference r:id="rId10"/>
  </externalReferences>
  <definedNames>
    <definedName name="_xlcn.WorksheetConnection_T9A2C161" hidden="1">#REF!</definedName>
    <definedName name="Flag">INDIRECT([1]Report!$C$2)</definedName>
    <definedName name="mylist">INDEX(([2]!TableProd[Productivity],[2]!TableGame[Games],[2]!TableUtility[Utility]),,,MATCH([2]Table!$F$4,[2]Table!$A$4:$C$4,0))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4" i="22" l="1"/>
  <c r="J33" i="22"/>
  <c r="J32" i="22"/>
  <c r="J31" i="22"/>
  <c r="J30" i="22"/>
  <c r="J29" i="22"/>
  <c r="J28" i="22"/>
  <c r="J27" i="22"/>
  <c r="J26" i="22"/>
  <c r="J25" i="22"/>
  <c r="J24" i="22"/>
  <c r="J23" i="22"/>
  <c r="J17" i="22"/>
  <c r="J16" i="22"/>
  <c r="J15" i="22"/>
  <c r="J14" i="22"/>
  <c r="J8" i="22"/>
  <c r="J7" i="22"/>
  <c r="J6" i="22"/>
  <c r="N10" i="11" l="1"/>
  <c r="E10" i="11"/>
  <c r="N9" i="11"/>
  <c r="E9" i="11"/>
  <c r="L8" i="11"/>
  <c r="N8" i="11" s="1"/>
  <c r="C8" i="11"/>
  <c r="E8" i="11" s="1"/>
  <c r="N7" i="11"/>
  <c r="E7" i="11"/>
  <c r="N6" i="11"/>
  <c r="E6" i="11"/>
  <c r="N5" i="11"/>
  <c r="E5" i="11"/>
  <c r="O17" i="13" l="1"/>
  <c r="N17" i="13"/>
  <c r="M17" i="13"/>
  <c r="L17" i="13"/>
  <c r="K17" i="13"/>
  <c r="J17" i="13"/>
  <c r="I17" i="13"/>
  <c r="H17" i="13"/>
  <c r="G17" i="13"/>
  <c r="F17" i="13"/>
  <c r="E17" i="13"/>
  <c r="D17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D10" i="13" a="1"/>
  <c r="J11" i="13" s="1"/>
  <c r="D11" i="13" l="1"/>
  <c r="E10" i="13"/>
  <c r="E11" i="13"/>
  <c r="F10" i="13"/>
  <c r="F11" i="13"/>
  <c r="I10" i="13"/>
  <c r="I11" i="13"/>
  <c r="K10" i="13"/>
  <c r="K11" i="13"/>
  <c r="L10" i="13"/>
  <c r="L11" i="13"/>
  <c r="M10" i="13"/>
  <c r="M11" i="13"/>
  <c r="N10" i="13"/>
  <c r="N11" i="13"/>
  <c r="O10" i="13"/>
  <c r="O11" i="13"/>
  <c r="D10" i="13"/>
  <c r="G10" i="13"/>
  <c r="G11" i="13"/>
  <c r="H10" i="13"/>
  <c r="H11" i="13"/>
  <c r="J10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2CE123F9-3E49-487B-9172-73C44CA720F8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7B5D32BB-48FA-496D-8A37-BBF82DFCC155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 xr:uid="{01632DA0-D92E-457D-BB06-E007F63F2AC4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J5" authorId="0" shapeId="0" xr:uid="{C7A5E77E-2997-4C39-8A7C-8D808A790993}">
      <text>
        <r>
          <rPr>
            <b/>
            <sz val="9"/>
            <color indexed="81"/>
            <rFont val="Tahoma"/>
            <family val="2"/>
          </rPr>
          <t>Note: these formulas exclude the start date but include the end date. Adjust as you see fit</t>
        </r>
      </text>
    </comment>
  </commentList>
</comments>
</file>

<file path=xl/sharedStrings.xml><?xml version="1.0" encoding="utf-8"?>
<sst xmlns="http://schemas.openxmlformats.org/spreadsheetml/2006/main" count="170" uniqueCount="47">
  <si>
    <t>App</t>
  </si>
  <si>
    <t>Sales</t>
  </si>
  <si>
    <t>Method 1: Copy &amp; Paste Special -&gt; Transpose</t>
  </si>
  <si>
    <t>WenCaL</t>
  </si>
  <si>
    <t>Blend</t>
  </si>
  <si>
    <t>Voltage</t>
  </si>
  <si>
    <t>Inkly</t>
  </si>
  <si>
    <t>Sleops</t>
  </si>
  <si>
    <t>Kind Ape</t>
  </si>
  <si>
    <t>Pet Feed</t>
  </si>
  <si>
    <t>Right App</t>
  </si>
  <si>
    <t>Mirrrr</t>
  </si>
  <si>
    <t>Halotot</t>
  </si>
  <si>
    <t>Flowrrr</t>
  </si>
  <si>
    <t>Silvrr</t>
  </si>
  <si>
    <t>Method 2: Transpose Array formula -&gt; highlight range, then formula, then Control + Shift + Enter</t>
  </si>
  <si>
    <t>Method 3: Simple formulas -&gt; type in cell references as text with a fixed initial -&gt; Search and replace the initial with the equal sign</t>
  </si>
  <si>
    <t>Copy &amp; Resize Variably Sized Ranges</t>
  </si>
  <si>
    <t>Source Data</t>
  </si>
  <si>
    <t>Destination with copy method</t>
  </si>
  <si>
    <t>Company</t>
  </si>
  <si>
    <t>Business Unit</t>
  </si>
  <si>
    <t>Actual Revenue</t>
  </si>
  <si>
    <t>Budget Revenue</t>
  </si>
  <si>
    <t>Variance</t>
  </si>
  <si>
    <t>Entity A</t>
  </si>
  <si>
    <t>BU_1</t>
  </si>
  <si>
    <t>Entity B</t>
  </si>
  <si>
    <t>Entity C</t>
  </si>
  <si>
    <t>Entity D</t>
  </si>
  <si>
    <t>Entity E</t>
  </si>
  <si>
    <t>BU_2</t>
  </si>
  <si>
    <t>Entity F</t>
  </si>
  <si>
    <t>Paste here without header</t>
  </si>
  <si>
    <t>Destination with paste special method</t>
  </si>
  <si>
    <t>Date</t>
  </si>
  <si>
    <t>Revenue</t>
  </si>
  <si>
    <t>Sum revenue Between 2 specific dates</t>
  </si>
  <si>
    <t>Utility</t>
  </si>
  <si>
    <t>Productivity</t>
  </si>
  <si>
    <t>From</t>
  </si>
  <si>
    <t>To</t>
  </si>
  <si>
    <t>Game</t>
  </si>
  <si>
    <t>Sum revenue for the month</t>
  </si>
  <si>
    <t>Sum revenue for the month by app (multiple criteria)</t>
  </si>
  <si>
    <t>SUM between two dates</t>
  </si>
  <si>
    <t>Active ListBox for Printing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</si>
</sst>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[$-409]mmm\-yy;@"/>
    <numFmt numFmtId="167" formatCode="mmm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Schriftart für Textkörper"/>
      <family val="2"/>
    </font>
    <font>
      <sz val="11"/>
      <color rgb="FF000000"/>
      <name val="Calibri"/>
      <family val="2"/>
    </font>
    <font>
      <sz val="14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38EC6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7">
    <xf numFmtId="0" fontId="0" fillId="0" borderId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6">
    <xf numFmtId="0" fontId="0" fillId="0" borderId="0" xfId="0"/>
    <xf numFmtId="0" fontId="2" fillId="0" borderId="1" xfId="0" applyFont="1" applyBorder="1"/>
    <xf numFmtId="0" fontId="0" fillId="0" borderId="1" xfId="0" applyBorder="1"/>
    <xf numFmtId="0" fontId="2" fillId="0" borderId="0" xfId="0" applyFont="1"/>
    <xf numFmtId="14" fontId="0" fillId="0" borderId="0" xfId="0" applyNumberFormat="1"/>
    <xf numFmtId="0" fontId="4" fillId="0" borderId="0" xfId="0" applyFont="1"/>
    <xf numFmtId="0" fontId="8" fillId="3" borderId="0" xfId="0" applyFont="1" applyFill="1"/>
    <xf numFmtId="0" fontId="1" fillId="0" borderId="0" xfId="0" applyFont="1"/>
    <xf numFmtId="0" fontId="4" fillId="0" borderId="0" xfId="0" applyFont="1" applyAlignment="1">
      <alignment vertical="center"/>
    </xf>
    <xf numFmtId="3" fontId="4" fillId="0" borderId="0" xfId="0" applyNumberFormat="1" applyFont="1"/>
    <xf numFmtId="0" fontId="0" fillId="0" borderId="0" xfId="0" applyAlignment="1">
      <alignment horizontal="right"/>
    </xf>
    <xf numFmtId="0" fontId="5" fillId="0" borderId="0" xfId="4"/>
    <xf numFmtId="0" fontId="1" fillId="2" borderId="2" xfId="0" applyFont="1" applyFill="1" applyBorder="1" applyAlignment="1">
      <alignment wrapText="1"/>
    </xf>
    <xf numFmtId="0" fontId="1" fillId="2" borderId="0" xfId="0" applyFont="1" applyFill="1" applyAlignment="1">
      <alignment wrapText="1"/>
    </xf>
    <xf numFmtId="0" fontId="0" fillId="4" borderId="0" xfId="0" applyFill="1"/>
    <xf numFmtId="165" fontId="0" fillId="0" borderId="0" xfId="5" applyNumberFormat="1" applyFont="1"/>
    <xf numFmtId="165" fontId="0" fillId="0" borderId="0" xfId="0" applyNumberFormat="1"/>
    <xf numFmtId="9" fontId="0" fillId="0" borderId="0" xfId="6" applyFont="1"/>
    <xf numFmtId="9" fontId="0" fillId="0" borderId="0" xfId="0" applyNumberFormat="1"/>
    <xf numFmtId="0" fontId="10" fillId="0" borderId="1" xfId="0" applyFont="1" applyBorder="1"/>
    <xf numFmtId="0" fontId="11" fillId="5" borderId="0" xfId="0" applyFont="1" applyFill="1"/>
    <xf numFmtId="0" fontId="12" fillId="0" borderId="0" xfId="0" applyFont="1"/>
    <xf numFmtId="3" fontId="0" fillId="0" borderId="0" xfId="0" applyNumberFormat="1"/>
    <xf numFmtId="0" fontId="11" fillId="6" borderId="0" xfId="0" applyFont="1" applyFill="1" applyAlignment="1">
      <alignment horizontal="center"/>
    </xf>
    <xf numFmtId="166" fontId="0" fillId="0" borderId="0" xfId="0" applyNumberFormat="1"/>
    <xf numFmtId="167" fontId="0" fillId="0" borderId="0" xfId="0" applyNumberFormat="1"/>
  </cellXfs>
  <cellStyles count="7">
    <cellStyle name="Comma 2" xfId="5" xr:uid="{0F06E91C-9827-4CBD-9DD0-97086667D822}"/>
    <cellStyle name="Hyperlink" xfId="4" builtinId="8"/>
    <cellStyle name="Hyperlink 2" xfId="2" xr:uid="{49BDB677-FC2D-4DFA-8EBD-9F249110D368}"/>
    <cellStyle name="Hyperlink 3" xfId="3" xr:uid="{2B5EE2D5-A367-4C1A-8F22-A386EE1DC76F}"/>
    <cellStyle name="Normal" xfId="0" builtinId="0"/>
    <cellStyle name="Normal 2" xfId="1" xr:uid="{FAC8F1A2-C078-427F-A145-187D915ECAF9}"/>
    <cellStyle name="Percent 2" xfId="6" xr:uid="{F70F9117-7FC8-46B2-BD9B-E083809FBA5D}"/>
  </cellStyles>
  <dxfs count="0"/>
  <tableStyles count="0" defaultTableStyle="TableStyleMedium2" defaultPivotStyle="PivotStyleLight16"/>
  <colors>
    <mruColors>
      <color rgb="FF2981B9"/>
      <color rgb="FF006666"/>
      <color rgb="FFE6834F"/>
      <color rgb="FF29BD7D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chartsheet" Target="chartsheets/sheet3.xml"/><Relationship Id="rId12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theme" Target="theme/theme1.xml"/><Relationship Id="rId5" Type="http://schemas.openxmlformats.org/officeDocument/2006/relationships/worksheet" Target="worksheets/sheet3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chartsheet" Target="chartsheets/sheet2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Transpose!$B$2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Transpose!$A$3:$A$14</c:f>
              <c:strCache>
                <c:ptCount val="12"/>
                <c:pt idx="0">
                  <c:v>WenCaL</c:v>
                </c:pt>
                <c:pt idx="1">
                  <c:v>Blend</c:v>
                </c:pt>
                <c:pt idx="2">
                  <c:v>Voltage</c:v>
                </c:pt>
                <c:pt idx="3">
                  <c:v>Inkly</c:v>
                </c:pt>
                <c:pt idx="4">
                  <c:v>Sleops</c:v>
                </c:pt>
                <c:pt idx="5">
                  <c:v>Kind Ape</c:v>
                </c:pt>
                <c:pt idx="6">
                  <c:v>Pet Feed</c:v>
                </c:pt>
                <c:pt idx="7">
                  <c:v>Right App</c:v>
                </c:pt>
                <c:pt idx="8">
                  <c:v>Mirrrr</c:v>
                </c:pt>
                <c:pt idx="9">
                  <c:v>Halotot</c:v>
                </c:pt>
                <c:pt idx="10">
                  <c:v>Flowrrr</c:v>
                </c:pt>
                <c:pt idx="11">
                  <c:v>Silvrr</c:v>
                </c:pt>
              </c:strCache>
            </c:strRef>
          </c:cat>
          <c:val>
            <c:numRef>
              <c:f>Transpose!$B$3:$B$14</c:f>
              <c:numCache>
                <c:formatCode>#,##0</c:formatCode>
                <c:ptCount val="12"/>
                <c:pt idx="0">
                  <c:v>14432</c:v>
                </c:pt>
                <c:pt idx="1">
                  <c:v>17990</c:v>
                </c:pt>
                <c:pt idx="2">
                  <c:v>15117</c:v>
                </c:pt>
                <c:pt idx="3">
                  <c:v>11154</c:v>
                </c:pt>
                <c:pt idx="4">
                  <c:v>11022</c:v>
                </c:pt>
                <c:pt idx="5">
                  <c:v>8905</c:v>
                </c:pt>
                <c:pt idx="6">
                  <c:v>16735</c:v>
                </c:pt>
                <c:pt idx="7">
                  <c:v>3635</c:v>
                </c:pt>
                <c:pt idx="8">
                  <c:v>15627</c:v>
                </c:pt>
                <c:pt idx="9">
                  <c:v>7270</c:v>
                </c:pt>
                <c:pt idx="10">
                  <c:v>5955</c:v>
                </c:pt>
                <c:pt idx="11">
                  <c:v>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71-4EEA-A0DF-9DEC52624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4155679"/>
        <c:axId val="1193386751"/>
      </c:barChart>
      <c:catAx>
        <c:axId val="78415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386751"/>
        <c:crosses val="autoZero"/>
        <c:auto val="1"/>
        <c:lblAlgn val="ctr"/>
        <c:lblOffset val="100"/>
        <c:noMultiLvlLbl val="0"/>
      </c:catAx>
      <c:valAx>
        <c:axId val="1193386751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415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vs Budget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InputForm!$C$4</c:f>
              <c:strCache>
                <c:ptCount val="1"/>
                <c:pt idx="0">
                  <c:v>Actual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InputForm!$A$5:$A$10</c:f>
              <c:strCache>
                <c:ptCount val="6"/>
                <c:pt idx="0">
                  <c:v>Entity A</c:v>
                </c:pt>
                <c:pt idx="1">
                  <c:v>Entity B</c:v>
                </c:pt>
                <c:pt idx="2">
                  <c:v>Entity C</c:v>
                </c:pt>
                <c:pt idx="3">
                  <c:v>Entity D</c:v>
                </c:pt>
                <c:pt idx="4">
                  <c:v>Entity E</c:v>
                </c:pt>
                <c:pt idx="5">
                  <c:v>Entity F</c:v>
                </c:pt>
              </c:strCache>
            </c:strRef>
          </c:cat>
          <c:val>
            <c:numRef>
              <c:f>InputForm!$C$5:$C$10</c:f>
              <c:numCache>
                <c:formatCode>_(* #,##0_);_(* \(#,##0\);_(* "-"??_);_(@_)</c:formatCode>
                <c:ptCount val="6"/>
                <c:pt idx="0">
                  <c:v>10200</c:v>
                </c:pt>
                <c:pt idx="1">
                  <c:v>12240</c:v>
                </c:pt>
                <c:pt idx="2">
                  <c:v>14688</c:v>
                </c:pt>
                <c:pt idx="3">
                  <c:v>19775.923199999997</c:v>
                </c:pt>
                <c:pt idx="4">
                  <c:v>10300</c:v>
                </c:pt>
                <c:pt idx="5">
                  <c:v>12360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DA-4E5C-9E6B-A873B65CE9C2}"/>
            </c:ext>
          </c:extLst>
        </c:ser>
        <c:ser>
          <c:idx val="1"/>
          <c:order val="1"/>
          <c:tx>
            <c:strRef>
              <c:f>InputForm!$D$4</c:f>
              <c:strCache>
                <c:ptCount val="1"/>
                <c:pt idx="0">
                  <c:v>Budget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InputForm!$A$5:$A$10</c:f>
              <c:strCache>
                <c:ptCount val="6"/>
                <c:pt idx="0">
                  <c:v>Entity A</c:v>
                </c:pt>
                <c:pt idx="1">
                  <c:v>Entity B</c:v>
                </c:pt>
                <c:pt idx="2">
                  <c:v>Entity C</c:v>
                </c:pt>
                <c:pt idx="3">
                  <c:v>Entity D</c:v>
                </c:pt>
                <c:pt idx="4">
                  <c:v>Entity E</c:v>
                </c:pt>
                <c:pt idx="5">
                  <c:v>Entity F</c:v>
                </c:pt>
              </c:strCache>
            </c:strRef>
          </c:cat>
          <c:val>
            <c:numRef>
              <c:f>InputForm!$D$5:$D$10</c:f>
              <c:numCache>
                <c:formatCode>_(* #,##0_);_(* \(#,##0\);_(* "-"??_);_(@_)</c:formatCode>
                <c:ptCount val="6"/>
                <c:pt idx="0">
                  <c:v>10404</c:v>
                </c:pt>
                <c:pt idx="1">
                  <c:v>12484.800000000001</c:v>
                </c:pt>
                <c:pt idx="2">
                  <c:v>14981.76</c:v>
                </c:pt>
                <c:pt idx="3">
                  <c:v>17978.111999999997</c:v>
                </c:pt>
                <c:pt idx="4">
                  <c:v>10506</c:v>
                </c:pt>
                <c:pt idx="5">
                  <c:v>12607.2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DA-4E5C-9E6B-A873B65CE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8310095"/>
        <c:axId val="946694495"/>
      </c:barChart>
      <c:catAx>
        <c:axId val="1008310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694495"/>
        <c:crosses val="autoZero"/>
        <c:auto val="1"/>
        <c:lblAlgn val="ctr"/>
        <c:lblOffset val="100"/>
        <c:noMultiLvlLbl val="0"/>
      </c:catAx>
      <c:valAx>
        <c:axId val="94669449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10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Report!$A$3:$B$14</c:f>
              <c:multiLvlStrCache>
                <c:ptCount val="12"/>
                <c:lvl>
                  <c:pt idx="0">
                    <c:v>Utility</c:v>
                  </c:pt>
                  <c:pt idx="1">
                    <c:v>Productivity</c:v>
                  </c:pt>
                  <c:pt idx="2">
                    <c:v>Game</c:v>
                  </c:pt>
                  <c:pt idx="3">
                    <c:v>Utility</c:v>
                  </c:pt>
                  <c:pt idx="4">
                    <c:v>Productivity</c:v>
                  </c:pt>
                  <c:pt idx="5">
                    <c:v>Game</c:v>
                  </c:pt>
                  <c:pt idx="6">
                    <c:v>Utility</c:v>
                  </c:pt>
                  <c:pt idx="7">
                    <c:v>Productivity</c:v>
                  </c:pt>
                  <c:pt idx="8">
                    <c:v>Game</c:v>
                  </c:pt>
                  <c:pt idx="9">
                    <c:v>Utility</c:v>
                  </c:pt>
                  <c:pt idx="10">
                    <c:v>Productivity</c:v>
                  </c:pt>
                  <c:pt idx="11">
                    <c:v>Game</c:v>
                  </c:pt>
                </c:lvl>
                <c:lvl>
                  <c:pt idx="0">
                    <c:v>Jun</c:v>
                  </c:pt>
                  <c:pt idx="3">
                    <c:v>Jul</c:v>
                  </c:pt>
                  <c:pt idx="6">
                    <c:v>Aug</c:v>
                  </c:pt>
                  <c:pt idx="9">
                    <c:v>Sep</c:v>
                  </c:pt>
                </c:lvl>
              </c:multiLvlStrCache>
            </c:multiLvlStrRef>
          </c:cat>
          <c:val>
            <c:numRef>
              <c:f>Report!$C$3:$C$14</c:f>
              <c:numCache>
                <c:formatCode>#,##0</c:formatCode>
                <c:ptCount val="12"/>
                <c:pt idx="0">
                  <c:v>44196</c:v>
                </c:pt>
                <c:pt idx="1">
                  <c:v>24396</c:v>
                </c:pt>
                <c:pt idx="2">
                  <c:v>0</c:v>
                </c:pt>
                <c:pt idx="3">
                  <c:v>225585</c:v>
                </c:pt>
                <c:pt idx="4">
                  <c:v>72830</c:v>
                </c:pt>
                <c:pt idx="5">
                  <c:v>125942</c:v>
                </c:pt>
                <c:pt idx="6">
                  <c:v>68020</c:v>
                </c:pt>
                <c:pt idx="7">
                  <c:v>159082</c:v>
                </c:pt>
                <c:pt idx="8">
                  <c:v>300972</c:v>
                </c:pt>
                <c:pt idx="9">
                  <c:v>39295</c:v>
                </c:pt>
                <c:pt idx="10">
                  <c:v>66110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09-48B5-9095-10813DC9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4908624"/>
        <c:axId val="604911904"/>
      </c:barChart>
      <c:catAx>
        <c:axId val="60490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911904"/>
        <c:crosses val="autoZero"/>
        <c:auto val="1"/>
        <c:lblAlgn val="ctr"/>
        <c:lblOffset val="100"/>
        <c:noMultiLvlLbl val="0"/>
      </c:catAx>
      <c:valAx>
        <c:axId val="6049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90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Report!$A$3:$B$14</c:f>
              <c:multiLvlStrCache>
                <c:ptCount val="12"/>
                <c:lvl>
                  <c:pt idx="0">
                    <c:v>Utility</c:v>
                  </c:pt>
                  <c:pt idx="1">
                    <c:v>Productivity</c:v>
                  </c:pt>
                  <c:pt idx="2">
                    <c:v>Game</c:v>
                  </c:pt>
                  <c:pt idx="3">
                    <c:v>Utility</c:v>
                  </c:pt>
                  <c:pt idx="4">
                    <c:v>Productivity</c:v>
                  </c:pt>
                  <c:pt idx="5">
                    <c:v>Game</c:v>
                  </c:pt>
                  <c:pt idx="6">
                    <c:v>Utility</c:v>
                  </c:pt>
                  <c:pt idx="7">
                    <c:v>Productivity</c:v>
                  </c:pt>
                  <c:pt idx="8">
                    <c:v>Game</c:v>
                  </c:pt>
                  <c:pt idx="9">
                    <c:v>Utility</c:v>
                  </c:pt>
                  <c:pt idx="10">
                    <c:v>Productivity</c:v>
                  </c:pt>
                  <c:pt idx="11">
                    <c:v>Game</c:v>
                  </c:pt>
                </c:lvl>
                <c:lvl>
                  <c:pt idx="0">
                    <c:v>Jun</c:v>
                  </c:pt>
                  <c:pt idx="3">
                    <c:v>Jul</c:v>
                  </c:pt>
                  <c:pt idx="6">
                    <c:v>Aug</c:v>
                  </c:pt>
                  <c:pt idx="9">
                    <c:v>Sep</c:v>
                  </c:pt>
                </c:lvl>
              </c:multiLvlStrCache>
            </c:multiLvlStrRef>
          </c:cat>
          <c:val>
            <c:numRef>
              <c:f>Report!$C$3:$C$14</c:f>
              <c:numCache>
                <c:formatCode>#,##0</c:formatCode>
                <c:ptCount val="12"/>
                <c:pt idx="0">
                  <c:v>44196</c:v>
                </c:pt>
                <c:pt idx="1">
                  <c:v>24396</c:v>
                </c:pt>
                <c:pt idx="2">
                  <c:v>0</c:v>
                </c:pt>
                <c:pt idx="3">
                  <c:v>225585</c:v>
                </c:pt>
                <c:pt idx="4">
                  <c:v>72830</c:v>
                </c:pt>
                <c:pt idx="5">
                  <c:v>125942</c:v>
                </c:pt>
                <c:pt idx="6">
                  <c:v>68020</c:v>
                </c:pt>
                <c:pt idx="7">
                  <c:v>159082</c:v>
                </c:pt>
                <c:pt idx="8">
                  <c:v>300972</c:v>
                </c:pt>
                <c:pt idx="9">
                  <c:v>39295</c:v>
                </c:pt>
                <c:pt idx="10">
                  <c:v>66110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4D-4685-885B-8075C585B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860250575"/>
        <c:axId val="980156655"/>
      </c:barChart>
      <c:catAx>
        <c:axId val="86025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156655"/>
        <c:crosses val="autoZero"/>
        <c:auto val="1"/>
        <c:lblAlgn val="ctr"/>
        <c:lblOffset val="100"/>
        <c:noMultiLvlLbl val="0"/>
      </c:catAx>
      <c:valAx>
        <c:axId val="98015665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6025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E327CD-7B3F-4FF0-9159-371C93434A1A}">
  <sheetPr codeName="Chart1"/>
  <sheetViews>
    <sheetView zoomScale="90" workbookViewId="0" zoomToFit="1"/>
  </sheetViews>
  <pageMargins left="0.7" right="0.7" top="0.75" bottom="0.75" header="0.3" footer="0.3"/>
  <pageSetup paperSize="9" orientation="landscape" horizontalDpi="1200" verticalDpi="1200" r:id="rId1"/>
  <headerFooter>
    <oddHeader>&amp;C&amp;A&amp;R&amp;P/&amp;N</oddHead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69530B2-5348-4C40-AD11-01E1A5DE7029}">
  <sheetPr codeName="Chart2"/>
  <sheetViews>
    <sheetView zoomScale="90" workbookViewId="0" zoomToFit="1"/>
  </sheetViews>
  <pageMargins left="0.7" right="0.7" top="0.75" bottom="0.75" header="0.3" footer="0.3"/>
  <pageSetup paperSize="9" orientation="landscape" horizontalDpi="1200" verticalDpi="1200" r:id="rId1"/>
  <headerFooter>
    <oddHeader>&amp;C&amp;A&amp;R&amp;P/&amp;N</oddHead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7060B0D-42A8-4E19-A9B5-544A9BD3EE0D}">
  <sheetPr codeName="Chart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205740</xdr:colOff>
          <xdr:row>4</xdr:row>
          <xdr:rowOff>66040</xdr:rowOff>
        </xdr:from>
        <xdr:to>
          <xdr:col>3</xdr:col>
          <xdr:colOff>457200</xdr:colOff>
          <xdr:row>11</xdr:row>
          <xdr:rowOff>132927</xdr:rowOff>
        </xdr:to>
        <xdr:sp macro="" textlink="">
          <xdr:nvSpPr>
            <xdr:cNvPr id="9218" name="ListBoxSh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5</xdr:row>
          <xdr:rowOff>167640</xdr:rowOff>
        </xdr:from>
        <xdr:to>
          <xdr:col>6</xdr:col>
          <xdr:colOff>198120</xdr:colOff>
          <xdr:row>8</xdr:row>
          <xdr:rowOff>53340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419966</xdr:colOff>
      <xdr:row>9</xdr:row>
      <xdr:rowOff>103909</xdr:rowOff>
    </xdr:from>
    <xdr:to>
      <xdr:col>5</xdr:col>
      <xdr:colOff>524741</xdr:colOff>
      <xdr:row>13</xdr:row>
      <xdr:rowOff>104776</xdr:rowOff>
    </xdr:to>
    <xdr:pic macro="[0]!print_sh">
      <xdr:nvPicPr>
        <xdr:cNvPr id="3" name="Graphic 2" descr="Print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35011" y="1801091"/>
          <a:ext cx="728230" cy="7282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257174</xdr:colOff>
      <xdr:row>2</xdr:row>
      <xdr:rowOff>25400</xdr:rowOff>
    </xdr:from>
    <xdr:to>
      <xdr:col>12</xdr:col>
      <xdr:colOff>590549</xdr:colOff>
      <xdr:row>17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60237486963a246/YouTube/YT_2018/YT_201806/Lookup_Pictures/Excel_Lookup_Pictures_XelPlus_Downlo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G/OneDrive/YouTube/YT_2018/YT_201807/Dependent_DropDown_Varying_Lengths/Excel_Dependent_Dropdown_Expandable_Exclude_Empty_XelPl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Report"/>
      <sheetName val="Master"/>
    </sheetNames>
    <sheetDataSet>
      <sheetData sheetId="0"/>
      <sheetData sheetId="1">
        <row r="2">
          <cell r="C2" t="str">
            <v>Spain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OFFSET"/>
      <sheetName val="Table"/>
      <sheetName val="Excel_Dependent_Dropdown_Expand"/>
    </sheetNames>
    <sheetDataSet>
      <sheetData sheetId="0"/>
      <sheetData sheetId="1"/>
      <sheetData sheetId="2">
        <row r="4">
          <cell r="A4" t="str">
            <v>Productivity</v>
          </cell>
          <cell r="B4" t="str">
            <v>Games</v>
          </cell>
          <cell r="C4" t="str">
            <v>Utility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-0.499984740745262"/>
  </sheetPr>
  <dimension ref="A1:L14"/>
  <sheetViews>
    <sheetView showGridLines="0" tabSelected="1" zoomScale="90" zoomScaleNormal="90" workbookViewId="0">
      <selection activeCell="M12" sqref="M12"/>
    </sheetView>
  </sheetViews>
  <sheetFormatPr defaultRowHeight="14.4"/>
  <cols>
    <col min="4" max="4" width="9.33203125" customWidth="1"/>
    <col min="5" max="5" width="8.77734375" customWidth="1"/>
    <col min="12" max="12" width="12.21875" customWidth="1"/>
    <col min="15" max="15" width="13.77734375" customWidth="1"/>
  </cols>
  <sheetData>
    <row r="1" spans="1:12" ht="18">
      <c r="A1" s="1" t="s">
        <v>46</v>
      </c>
      <c r="B1" s="1"/>
      <c r="C1" s="1"/>
      <c r="D1" s="1"/>
      <c r="E1" s="1"/>
      <c r="F1" s="1"/>
      <c r="G1" s="2"/>
      <c r="H1" s="2"/>
      <c r="I1" s="2"/>
      <c r="J1" s="2"/>
    </row>
    <row r="7" spans="1:12" ht="15.45" customHeight="1"/>
    <row r="14" spans="1:12">
      <c r="L1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ListBoxSh">
          <controlPr defaultSize="0" autoLine="0" autoPict="0" r:id="rId5">
            <anchor moveWithCells="1">
              <from>
                <xdr:col>1</xdr:col>
                <xdr:colOff>205740</xdr:colOff>
                <xdr:row>4</xdr:row>
                <xdr:rowOff>68580</xdr:rowOff>
              </from>
              <to>
                <xdr:col>3</xdr:col>
                <xdr:colOff>457200</xdr:colOff>
                <xdr:row>11</xdr:row>
                <xdr:rowOff>129540</xdr:rowOff>
              </to>
            </anchor>
          </controlPr>
        </control>
      </mc:Choice>
      <mc:Fallback>
        <control shapeId="9218" r:id="rId4" name="ListBoxSh"/>
      </mc:Fallback>
    </mc:AlternateContent>
    <mc:AlternateContent xmlns:mc="http://schemas.openxmlformats.org/markup-compatibility/2006">
      <mc:Choice Requires="x14">
        <control shapeId="9219" r:id="rId6" name="Button 3">
          <controlPr defaultSize="0" print="0" autoFill="0" autoPict="0" macro="[0]!print_sh">
            <anchor moveWithCells="1" sizeWithCells="1">
              <from>
                <xdr:col>4</xdr:col>
                <xdr:colOff>304800</xdr:colOff>
                <xdr:row>5</xdr:row>
                <xdr:rowOff>167640</xdr:rowOff>
              </from>
              <to>
                <xdr:col>6</xdr:col>
                <xdr:colOff>198120</xdr:colOff>
                <xdr:row>8</xdr:row>
                <xdr:rowOff>53340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Data">
    <pageSetUpPr fitToPage="1"/>
  </sheetPr>
  <dimension ref="A1:P18"/>
  <sheetViews>
    <sheetView zoomScaleNormal="100" workbookViewId="0">
      <selection activeCell="K2" sqref="K2"/>
    </sheetView>
  </sheetViews>
  <sheetFormatPr defaultRowHeight="14.4"/>
  <cols>
    <col min="1" max="1" width="11.21875" customWidth="1"/>
  </cols>
  <sheetData>
    <row r="1" spans="1:16">
      <c r="A1" s="5"/>
      <c r="B1" s="5"/>
      <c r="C1" s="5"/>
      <c r="D1" s="5"/>
      <c r="E1" s="5"/>
      <c r="F1" s="5"/>
      <c r="G1" s="5"/>
      <c r="H1" s="5"/>
      <c r="I1" s="5"/>
      <c r="J1" s="10"/>
      <c r="K1" s="11"/>
      <c r="L1" s="5"/>
      <c r="M1" s="5"/>
      <c r="N1" s="5"/>
      <c r="O1" s="5"/>
      <c r="P1" s="5"/>
    </row>
    <row r="2" spans="1:16" ht="18">
      <c r="A2" s="6" t="s">
        <v>0</v>
      </c>
      <c r="B2" s="6" t="s">
        <v>1</v>
      </c>
      <c r="C2" s="5"/>
      <c r="D2" s="7" t="s">
        <v>2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  <row r="3" spans="1:16">
      <c r="A3" s="8" t="s">
        <v>3</v>
      </c>
      <c r="B3" s="9">
        <v>14432</v>
      </c>
      <c r="C3" s="5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5"/>
    </row>
    <row r="4" spans="1:16">
      <c r="A4" s="8" t="s">
        <v>4</v>
      </c>
      <c r="B4" s="9">
        <v>17990</v>
      </c>
      <c r="C4" s="5"/>
      <c r="D4" s="8" t="s">
        <v>3</v>
      </c>
      <c r="E4" s="8" t="s">
        <v>4</v>
      </c>
      <c r="F4" s="8" t="s">
        <v>5</v>
      </c>
      <c r="G4" s="8" t="s">
        <v>6</v>
      </c>
      <c r="H4" s="8" t="s">
        <v>7</v>
      </c>
      <c r="I4" s="8" t="s">
        <v>8</v>
      </c>
      <c r="J4" s="8" t="s">
        <v>9</v>
      </c>
      <c r="K4" s="8" t="s">
        <v>10</v>
      </c>
      <c r="L4" s="8" t="s">
        <v>11</v>
      </c>
      <c r="M4" s="8" t="s">
        <v>12</v>
      </c>
      <c r="N4" s="5" t="s">
        <v>13</v>
      </c>
      <c r="O4" s="8" t="s">
        <v>14</v>
      </c>
      <c r="P4" s="5"/>
    </row>
    <row r="5" spans="1:16">
      <c r="A5" s="8" t="s">
        <v>5</v>
      </c>
      <c r="B5" s="9">
        <v>15117</v>
      </c>
      <c r="C5" s="5"/>
      <c r="D5" s="9">
        <v>14432</v>
      </c>
      <c r="E5" s="9">
        <v>17990</v>
      </c>
      <c r="F5" s="9">
        <v>15117</v>
      </c>
      <c r="G5" s="9">
        <v>11154</v>
      </c>
      <c r="H5" s="9">
        <v>11022</v>
      </c>
      <c r="I5" s="9">
        <v>8905</v>
      </c>
      <c r="J5" s="9">
        <v>16735</v>
      </c>
      <c r="K5" s="9">
        <v>3635</v>
      </c>
      <c r="L5" s="9">
        <v>15627</v>
      </c>
      <c r="M5" s="9">
        <v>7270</v>
      </c>
      <c r="N5" s="9">
        <v>5955</v>
      </c>
      <c r="O5" s="9">
        <v>7666</v>
      </c>
      <c r="P5" s="5"/>
    </row>
    <row r="6" spans="1:16">
      <c r="A6" s="8" t="s">
        <v>6</v>
      </c>
      <c r="B6" s="9">
        <v>11154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spans="1:16">
      <c r="A7" s="8" t="s">
        <v>7</v>
      </c>
      <c r="B7" s="9">
        <v>11022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1:16">
      <c r="A8" s="8" t="s">
        <v>8</v>
      </c>
      <c r="B8" s="9">
        <v>8905</v>
      </c>
      <c r="C8" s="5"/>
      <c r="D8" s="7" t="s">
        <v>15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</row>
    <row r="9" spans="1:16">
      <c r="A9" s="8" t="s">
        <v>9</v>
      </c>
      <c r="B9" s="9">
        <v>16735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1:16">
      <c r="A10" s="8" t="s">
        <v>10</v>
      </c>
      <c r="B10" s="9">
        <v>3635</v>
      </c>
      <c r="C10" s="5"/>
      <c r="D10" s="5" t="str">
        <f t="array" ref="D10:O11">TRANSPOSE(A3:B14)</f>
        <v>WenCaL</v>
      </c>
      <c r="E10" s="5" t="str">
        <v>Blend</v>
      </c>
      <c r="F10" s="5" t="str">
        <v>Voltage</v>
      </c>
      <c r="G10" s="5" t="str">
        <v>Inkly</v>
      </c>
      <c r="H10" s="5" t="str">
        <v>Sleops</v>
      </c>
      <c r="I10" s="5" t="str">
        <v>Kind Ape</v>
      </c>
      <c r="J10" s="5" t="str">
        <v>Pet Feed</v>
      </c>
      <c r="K10" s="5" t="str">
        <v>Right App</v>
      </c>
      <c r="L10" s="5" t="str">
        <v>Mirrrr</v>
      </c>
      <c r="M10" s="5" t="str">
        <v>Halotot</v>
      </c>
      <c r="N10" s="5" t="str">
        <v>Flowrrr</v>
      </c>
      <c r="O10" s="5" t="str">
        <v>Silvrr</v>
      </c>
      <c r="P10" s="5"/>
    </row>
    <row r="11" spans="1:16">
      <c r="A11" s="8" t="s">
        <v>11</v>
      </c>
      <c r="B11" s="9">
        <v>15627</v>
      </c>
      <c r="C11" s="5"/>
      <c r="D11" s="5">
        <v>14432</v>
      </c>
      <c r="E11" s="5">
        <v>17990</v>
      </c>
      <c r="F11" s="5">
        <v>15117</v>
      </c>
      <c r="G11" s="5">
        <v>11154</v>
      </c>
      <c r="H11" s="5">
        <v>11022</v>
      </c>
      <c r="I11" s="5">
        <v>8905</v>
      </c>
      <c r="J11" s="5">
        <v>16735</v>
      </c>
      <c r="K11" s="5">
        <v>3635</v>
      </c>
      <c r="L11" s="5">
        <v>15627</v>
      </c>
      <c r="M11" s="5">
        <v>7270</v>
      </c>
      <c r="N11" s="5">
        <v>5955</v>
      </c>
      <c r="O11" s="5">
        <v>7666</v>
      </c>
      <c r="P11" s="5"/>
    </row>
    <row r="12" spans="1:16">
      <c r="A12" s="8" t="s">
        <v>12</v>
      </c>
      <c r="B12" s="9">
        <v>7270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>
      <c r="A13" s="5" t="s">
        <v>13</v>
      </c>
      <c r="B13" s="9">
        <v>5955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>
      <c r="A14" s="8" t="s">
        <v>14</v>
      </c>
      <c r="B14" s="9">
        <v>7666</v>
      </c>
      <c r="C14" s="5"/>
      <c r="D14" s="7" t="s">
        <v>16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>
      <c r="A16" s="5"/>
      <c r="B16" s="5"/>
      <c r="C16" s="5"/>
      <c r="D16" s="9" t="str">
        <f>A3</f>
        <v>WenCaL</v>
      </c>
      <c r="E16" s="9" t="str">
        <f>A4</f>
        <v>Blend</v>
      </c>
      <c r="F16" s="9" t="str">
        <f>A5</f>
        <v>Voltage</v>
      </c>
      <c r="G16" s="9" t="str">
        <f>A6</f>
        <v>Inkly</v>
      </c>
      <c r="H16" s="9" t="str">
        <f>A7</f>
        <v>Sleops</v>
      </c>
      <c r="I16" s="9" t="str">
        <f>A8</f>
        <v>Kind Ape</v>
      </c>
      <c r="J16" s="9" t="str">
        <f>A9</f>
        <v>Pet Feed</v>
      </c>
      <c r="K16" s="9" t="str">
        <f>A10</f>
        <v>Right App</v>
      </c>
      <c r="L16" s="9" t="str">
        <f>A11</f>
        <v>Mirrrr</v>
      </c>
      <c r="M16" s="9" t="str">
        <f>A12</f>
        <v>Halotot</v>
      </c>
      <c r="N16" s="9" t="str">
        <f>A13</f>
        <v>Flowrrr</v>
      </c>
      <c r="O16" s="9" t="str">
        <f>A14</f>
        <v>Silvrr</v>
      </c>
      <c r="P16" s="5"/>
    </row>
    <row r="17" spans="1:16">
      <c r="A17" s="5"/>
      <c r="B17" s="5"/>
      <c r="C17" s="5"/>
      <c r="D17" s="9">
        <f>B3</f>
        <v>14432</v>
      </c>
      <c r="E17" s="9">
        <f>B4</f>
        <v>17990</v>
      </c>
      <c r="F17" s="9">
        <f>B5</f>
        <v>15117</v>
      </c>
      <c r="G17" s="9">
        <f>B6</f>
        <v>11154</v>
      </c>
      <c r="H17" s="9">
        <f>B7</f>
        <v>11022</v>
      </c>
      <c r="I17" s="9">
        <f>B8</f>
        <v>8905</v>
      </c>
      <c r="J17" s="9">
        <f>B9</f>
        <v>16735</v>
      </c>
      <c r="K17" s="9">
        <f>B10</f>
        <v>3635</v>
      </c>
      <c r="L17" s="9">
        <f>B11</f>
        <v>15627</v>
      </c>
      <c r="M17" s="9">
        <f>B12</f>
        <v>7270</v>
      </c>
      <c r="N17" s="9">
        <f>B13</f>
        <v>5955</v>
      </c>
      <c r="O17" s="9">
        <f>B14</f>
        <v>7666</v>
      </c>
      <c r="P17" s="5"/>
    </row>
    <row r="18" spans="1:16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</sheetData>
  <pageMargins left="0.7" right="0.7" top="0.75" bottom="0.75" header="0.3" footer="0.3"/>
  <pageSetup paperSize="9" scale="97" orientation="landscape" horizontalDpi="1200" verticalDpi="1200" r:id="rId1"/>
  <headerFooter>
    <oddHeader>&amp;C&amp;A&amp;R&amp;P/&amp;N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Input">
    <pageSetUpPr fitToPage="1"/>
  </sheetPr>
  <dimension ref="A1:O26"/>
  <sheetViews>
    <sheetView showGridLines="0" zoomScaleNormal="100" workbookViewId="0">
      <selection activeCell="V12" sqref="V12"/>
    </sheetView>
  </sheetViews>
  <sheetFormatPr defaultRowHeight="14.4"/>
  <cols>
    <col min="1" max="1" width="11.21875" customWidth="1"/>
    <col min="2" max="2" width="14" customWidth="1"/>
    <col min="7" max="7" width="4.77734375" customWidth="1"/>
    <col min="8" max="8" width="3.21875" customWidth="1"/>
    <col min="9" max="9" width="2.5546875" customWidth="1"/>
  </cols>
  <sheetData>
    <row r="1" spans="1:14" ht="18">
      <c r="A1" s="1" t="s">
        <v>17</v>
      </c>
      <c r="B1" s="1"/>
      <c r="C1" s="1"/>
      <c r="D1" s="1"/>
      <c r="E1" s="1"/>
      <c r="F1" s="1"/>
      <c r="J1" s="10"/>
      <c r="K1" s="11"/>
    </row>
    <row r="2" spans="1:14" ht="18">
      <c r="A2" s="7" t="s">
        <v>18</v>
      </c>
      <c r="B2" s="3"/>
      <c r="C2" s="3"/>
      <c r="D2" s="3"/>
      <c r="E2" s="3"/>
      <c r="F2" s="3"/>
      <c r="J2" s="7" t="s">
        <v>19</v>
      </c>
    </row>
    <row r="3" spans="1:14" ht="18">
      <c r="B3" s="3"/>
      <c r="C3" s="3"/>
      <c r="D3" s="3"/>
      <c r="E3" s="3"/>
      <c r="F3" s="3"/>
    </row>
    <row r="4" spans="1:14" ht="28.8">
      <c r="A4" s="12" t="s">
        <v>20</v>
      </c>
      <c r="B4" s="12" t="s">
        <v>21</v>
      </c>
      <c r="C4" s="12" t="s">
        <v>22</v>
      </c>
      <c r="D4" s="12" t="s">
        <v>23</v>
      </c>
      <c r="E4" s="13" t="s">
        <v>24</v>
      </c>
      <c r="G4" s="14"/>
      <c r="H4" s="14"/>
      <c r="I4" s="14"/>
      <c r="J4" s="12" t="s">
        <v>20</v>
      </c>
      <c r="K4" s="12" t="s">
        <v>21</v>
      </c>
      <c r="L4" s="12" t="s">
        <v>22</v>
      </c>
      <c r="M4" s="12" t="s">
        <v>23</v>
      </c>
      <c r="N4" s="13" t="s">
        <v>24</v>
      </c>
    </row>
    <row r="5" spans="1:14">
      <c r="A5" t="s">
        <v>25</v>
      </c>
      <c r="B5" t="s">
        <v>26</v>
      </c>
      <c r="C5" s="15">
        <v>10200</v>
      </c>
      <c r="D5" s="16">
        <v>10404</v>
      </c>
      <c r="E5" s="17">
        <f>C5/D5-1</f>
        <v>-1.9607843137254943E-2</v>
      </c>
      <c r="G5" s="14"/>
      <c r="H5" s="14"/>
      <c r="I5" s="14"/>
      <c r="J5" t="s">
        <v>25</v>
      </c>
      <c r="K5" t="s">
        <v>26</v>
      </c>
      <c r="L5" s="15">
        <v>10200</v>
      </c>
      <c r="M5" s="16">
        <v>10404</v>
      </c>
      <c r="N5" s="17">
        <f>L5/M5-1</f>
        <v>-1.9607843137254943E-2</v>
      </c>
    </row>
    <row r="6" spans="1:14">
      <c r="A6" t="s">
        <v>27</v>
      </c>
      <c r="B6" t="s">
        <v>26</v>
      </c>
      <c r="C6" s="15">
        <v>12240</v>
      </c>
      <c r="D6" s="16">
        <v>12484.800000000001</v>
      </c>
      <c r="E6" s="17">
        <f t="shared" ref="E6:E10" si="0">C6/D6-1</f>
        <v>-1.9607843137254943E-2</v>
      </c>
      <c r="G6" s="14"/>
      <c r="H6" s="14"/>
      <c r="I6" s="14"/>
      <c r="J6" t="s">
        <v>27</v>
      </c>
      <c r="K6" t="s">
        <v>26</v>
      </c>
      <c r="L6" s="15">
        <v>12240</v>
      </c>
      <c r="M6" s="16">
        <v>12484.800000000001</v>
      </c>
      <c r="N6" s="17">
        <f t="shared" ref="N6:N10" si="1">L6/M6-1</f>
        <v>-1.9607843137254943E-2</v>
      </c>
    </row>
    <row r="7" spans="1:14">
      <c r="A7" t="s">
        <v>28</v>
      </c>
      <c r="B7" t="s">
        <v>26</v>
      </c>
      <c r="C7" s="15">
        <v>14688</v>
      </c>
      <c r="D7" s="16">
        <v>14981.76</v>
      </c>
      <c r="E7" s="17">
        <f t="shared" si="0"/>
        <v>-1.9607843137254943E-2</v>
      </c>
      <c r="G7" s="14"/>
      <c r="H7" s="14"/>
      <c r="I7" s="14"/>
      <c r="J7" t="s">
        <v>28</v>
      </c>
      <c r="K7" t="s">
        <v>26</v>
      </c>
      <c r="L7" s="15">
        <v>14688</v>
      </c>
      <c r="M7" s="16">
        <v>14981.76</v>
      </c>
      <c r="N7" s="17">
        <f t="shared" si="1"/>
        <v>-1.9607843137254943E-2</v>
      </c>
    </row>
    <row r="8" spans="1:14">
      <c r="A8" t="s">
        <v>29</v>
      </c>
      <c r="B8" t="s">
        <v>26</v>
      </c>
      <c r="C8" s="15">
        <f>D8*1.1</f>
        <v>19775.923199999997</v>
      </c>
      <c r="D8" s="16">
        <v>17978.111999999997</v>
      </c>
      <c r="E8" s="17">
        <f t="shared" si="0"/>
        <v>0.10000000000000009</v>
      </c>
      <c r="G8" s="14"/>
      <c r="H8" s="14"/>
      <c r="I8" s="14"/>
      <c r="J8" t="s">
        <v>29</v>
      </c>
      <c r="K8" t="s">
        <v>26</v>
      </c>
      <c r="L8" s="15">
        <f>M8*1.1</f>
        <v>19775.923199999997</v>
      </c>
      <c r="M8" s="16">
        <v>17978.111999999997</v>
      </c>
      <c r="N8" s="17">
        <f t="shared" si="1"/>
        <v>0.10000000000000009</v>
      </c>
    </row>
    <row r="9" spans="1:14">
      <c r="A9" t="s">
        <v>30</v>
      </c>
      <c r="B9" t="s">
        <v>31</v>
      </c>
      <c r="C9" s="15">
        <v>10300</v>
      </c>
      <c r="D9" s="16">
        <v>10506</v>
      </c>
      <c r="E9" s="17">
        <f t="shared" si="0"/>
        <v>-1.9607843137254943E-2</v>
      </c>
      <c r="G9" s="14"/>
      <c r="H9" s="14"/>
      <c r="I9" s="14"/>
      <c r="J9" t="s">
        <v>30</v>
      </c>
      <c r="K9" t="s">
        <v>31</v>
      </c>
      <c r="L9" s="15">
        <v>10300</v>
      </c>
      <c r="M9" s="16">
        <v>10506</v>
      </c>
      <c r="N9" s="17">
        <f t="shared" si="1"/>
        <v>-1.9607843137254943E-2</v>
      </c>
    </row>
    <row r="10" spans="1:14">
      <c r="A10" t="s">
        <v>32</v>
      </c>
      <c r="B10" t="s">
        <v>31</v>
      </c>
      <c r="C10" s="15">
        <v>12360</v>
      </c>
      <c r="D10" s="16">
        <v>12607.2</v>
      </c>
      <c r="E10" s="17">
        <f t="shared" si="0"/>
        <v>-1.9607843137254943E-2</v>
      </c>
      <c r="G10" s="14"/>
      <c r="H10" s="14"/>
      <c r="I10" s="14"/>
      <c r="J10" t="s">
        <v>32</v>
      </c>
      <c r="K10" t="s">
        <v>31</v>
      </c>
      <c r="L10" s="15">
        <v>12360</v>
      </c>
      <c r="M10" s="16">
        <v>12607.2</v>
      </c>
      <c r="N10" s="17">
        <f t="shared" si="1"/>
        <v>-1.9607843137254943E-2</v>
      </c>
    </row>
    <row r="11" spans="1:14">
      <c r="G11" s="14"/>
      <c r="H11" s="14"/>
      <c r="I11" s="14"/>
    </row>
    <row r="12" spans="1:14">
      <c r="G12" s="14"/>
      <c r="H12" s="14"/>
      <c r="I12" s="14"/>
    </row>
    <row r="13" spans="1:14">
      <c r="G13" s="14"/>
      <c r="H13" s="14"/>
      <c r="I13" s="14"/>
    </row>
    <row r="14" spans="1:14">
      <c r="G14" s="14"/>
      <c r="H14" s="14"/>
      <c r="I14" s="14"/>
    </row>
    <row r="15" spans="1:14">
      <c r="G15" s="14"/>
      <c r="H15" s="14"/>
      <c r="I15" s="14"/>
    </row>
    <row r="16" spans="1:14">
      <c r="G16" s="14"/>
      <c r="H16" s="14"/>
      <c r="I16" s="14"/>
    </row>
    <row r="17" spans="1:1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</row>
    <row r="18" spans="1:15">
      <c r="A18" s="7" t="s">
        <v>33</v>
      </c>
      <c r="G18" s="14"/>
      <c r="H18" s="14"/>
      <c r="I18" s="14"/>
      <c r="J18" s="7" t="s">
        <v>34</v>
      </c>
    </row>
    <row r="19" spans="1:15">
      <c r="G19" s="14"/>
      <c r="H19" s="14"/>
      <c r="I19" s="14"/>
    </row>
    <row r="20" spans="1:15">
      <c r="A20" t="s">
        <v>25</v>
      </c>
      <c r="B20" t="s">
        <v>26</v>
      </c>
      <c r="C20" s="16">
        <v>10200</v>
      </c>
      <c r="D20" s="16">
        <v>10404</v>
      </c>
      <c r="E20" s="18">
        <v>-1.9607843137254943E-2</v>
      </c>
      <c r="J20" t="s">
        <v>20</v>
      </c>
      <c r="K20" t="s">
        <v>21</v>
      </c>
      <c r="L20" t="s">
        <v>22</v>
      </c>
      <c r="M20" t="s">
        <v>23</v>
      </c>
      <c r="N20" t="s">
        <v>24</v>
      </c>
    </row>
    <row r="21" spans="1:15">
      <c r="A21" t="s">
        <v>27</v>
      </c>
      <c r="B21" t="s">
        <v>26</v>
      </c>
      <c r="C21" s="16">
        <v>12240</v>
      </c>
      <c r="D21" s="16">
        <v>12484.800000000001</v>
      </c>
      <c r="E21" s="18">
        <v>-1.9607843137254943E-2</v>
      </c>
      <c r="J21" t="s">
        <v>25</v>
      </c>
      <c r="K21" t="s">
        <v>26</v>
      </c>
      <c r="L21" s="16">
        <v>10200</v>
      </c>
      <c r="M21" s="16">
        <v>10404</v>
      </c>
      <c r="N21" s="18">
        <v>-1.9607843137254943E-2</v>
      </c>
    </row>
    <row r="22" spans="1:15">
      <c r="A22" t="s">
        <v>28</v>
      </c>
      <c r="B22" t="s">
        <v>26</v>
      </c>
      <c r="C22" s="16">
        <v>14688</v>
      </c>
      <c r="D22" s="16">
        <v>14981.76</v>
      </c>
      <c r="E22" s="18">
        <v>-1.9607843137254943E-2</v>
      </c>
      <c r="J22" t="s">
        <v>27</v>
      </c>
      <c r="K22" t="s">
        <v>26</v>
      </c>
      <c r="L22" s="16">
        <v>12240</v>
      </c>
      <c r="M22" s="16">
        <v>12484.800000000001</v>
      </c>
      <c r="N22" s="18">
        <v>-1.9607843137254943E-2</v>
      </c>
    </row>
    <row r="23" spans="1:15">
      <c r="A23" t="s">
        <v>29</v>
      </c>
      <c r="B23" t="s">
        <v>26</v>
      </c>
      <c r="C23" s="16">
        <v>19775.923199999997</v>
      </c>
      <c r="D23" s="16">
        <v>17978.111999999997</v>
      </c>
      <c r="E23" s="18">
        <v>0.10000000000000009</v>
      </c>
      <c r="J23" t="s">
        <v>28</v>
      </c>
      <c r="K23" t="s">
        <v>26</v>
      </c>
      <c r="L23" s="16">
        <v>14688</v>
      </c>
      <c r="M23" s="16">
        <v>14981.76</v>
      </c>
      <c r="N23" s="18">
        <v>-1.9607843137254943E-2</v>
      </c>
    </row>
    <row r="24" spans="1:15">
      <c r="A24" t="s">
        <v>30</v>
      </c>
      <c r="B24" t="s">
        <v>31</v>
      </c>
      <c r="C24" s="16">
        <v>10300</v>
      </c>
      <c r="D24" s="16">
        <v>10506</v>
      </c>
      <c r="E24" s="18">
        <v>-1.9607843137254943E-2</v>
      </c>
      <c r="J24" t="s">
        <v>29</v>
      </c>
      <c r="K24" t="s">
        <v>26</v>
      </c>
      <c r="L24" s="16">
        <v>19775.923199999997</v>
      </c>
      <c r="M24" s="16">
        <v>17978.111999999997</v>
      </c>
      <c r="N24" s="18">
        <v>0.10000000000000009</v>
      </c>
    </row>
    <row r="25" spans="1:15">
      <c r="A25" t="s">
        <v>32</v>
      </c>
      <c r="B25" t="s">
        <v>31</v>
      </c>
      <c r="C25" s="16">
        <v>12360</v>
      </c>
      <c r="D25" s="16">
        <v>12607.2</v>
      </c>
      <c r="E25" s="18">
        <v>-1.9607843137254943E-2</v>
      </c>
      <c r="J25" t="s">
        <v>30</v>
      </c>
      <c r="K25" t="s">
        <v>31</v>
      </c>
      <c r="L25" s="16">
        <v>10300</v>
      </c>
      <c r="M25" s="16">
        <v>10506</v>
      </c>
      <c r="N25" s="18">
        <v>-1.9607843137254943E-2</v>
      </c>
    </row>
    <row r="26" spans="1:15">
      <c r="J26" t="s">
        <v>32</v>
      </c>
      <c r="K26" t="s">
        <v>31</v>
      </c>
      <c r="L26" s="16">
        <v>12360</v>
      </c>
      <c r="M26" s="16">
        <v>12607.2</v>
      </c>
      <c r="N26" s="18">
        <v>-1.9607843137254943E-2</v>
      </c>
    </row>
  </sheetData>
  <dataConsolidate/>
  <pageMargins left="0.7" right="0.7" top="0.75" bottom="0.75" header="0.3" footer="0.3"/>
  <pageSetup paperSize="9" orientation="landscape" horizontalDpi="1200" verticalDpi="1200" r:id="rId1"/>
  <headerFooter>
    <oddHeader>&amp;C&amp;A&amp;R&amp;P/&amp;N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55228-FEFA-46C9-8295-CD88811AD78D}">
  <sheetPr codeName="Sheet4">
    <pageSetUpPr fitToPage="1"/>
  </sheetPr>
  <dimension ref="A1:J42"/>
  <sheetViews>
    <sheetView zoomScaleNormal="100" workbookViewId="0">
      <selection activeCell="J6" sqref="J6"/>
    </sheetView>
  </sheetViews>
  <sheetFormatPr defaultRowHeight="14.4"/>
  <cols>
    <col min="1" max="1" width="14.77734375" customWidth="1"/>
    <col min="2" max="2" width="16.21875" customWidth="1"/>
    <col min="3" max="3" width="17.77734375" customWidth="1"/>
    <col min="4" max="7" width="3.88671875" customWidth="1"/>
    <col min="8" max="8" width="13.33203125" customWidth="1"/>
    <col min="9" max="9" width="15.33203125" customWidth="1"/>
    <col min="11" max="11" width="9.77734375" bestFit="1" customWidth="1"/>
  </cols>
  <sheetData>
    <row r="1" spans="1:10" ht="17.399999999999999">
      <c r="A1" s="19" t="s">
        <v>45</v>
      </c>
      <c r="B1" s="2"/>
      <c r="C1" s="2"/>
      <c r="D1" s="10"/>
      <c r="F1" s="11"/>
    </row>
    <row r="2" spans="1:10" ht="19.5" customHeight="1"/>
    <row r="3" spans="1:10" ht="15.6">
      <c r="A3" s="20" t="s">
        <v>35</v>
      </c>
      <c r="B3" s="20" t="s">
        <v>0</v>
      </c>
      <c r="C3" s="20" t="s">
        <v>36</v>
      </c>
      <c r="H3" s="21" t="s">
        <v>37</v>
      </c>
    </row>
    <row r="4" spans="1:10">
      <c r="A4" s="4">
        <v>43270</v>
      </c>
      <c r="B4" t="s">
        <v>38</v>
      </c>
      <c r="C4" s="22">
        <v>44196</v>
      </c>
    </row>
    <row r="5" spans="1:10">
      <c r="A5" s="4">
        <v>43281</v>
      </c>
      <c r="B5" t="s">
        <v>39</v>
      </c>
      <c r="C5" s="22">
        <v>24396</v>
      </c>
      <c r="H5" s="23" t="s">
        <v>40</v>
      </c>
      <c r="I5" s="23" t="s">
        <v>41</v>
      </c>
      <c r="J5" s="23" t="s">
        <v>36</v>
      </c>
    </row>
    <row r="6" spans="1:10">
      <c r="A6" s="4">
        <v>43286</v>
      </c>
      <c r="B6" t="s">
        <v>38</v>
      </c>
      <c r="C6" s="22">
        <v>20898</v>
      </c>
      <c r="H6" s="4">
        <v>43252</v>
      </c>
      <c r="I6" s="4">
        <v>43296</v>
      </c>
      <c r="J6" s="22">
        <f>SUMIFS($C$4:$C$33,$A$4:$A$33,"&gt;"&amp;$H6,$A$4:$A$33,"&lt;="&amp;I6)</f>
        <v>205740</v>
      </c>
    </row>
    <row r="7" spans="1:10">
      <c r="A7" s="4">
        <v>43288</v>
      </c>
      <c r="B7" t="s">
        <v>38</v>
      </c>
      <c r="C7" s="22">
        <v>46994</v>
      </c>
      <c r="H7" s="4">
        <v>43296</v>
      </c>
      <c r="I7" s="4">
        <v>43313</v>
      </c>
      <c r="J7" s="22">
        <f>SUMIFS($C$4:$C$33,$A$4:$A$33,"&gt;"&amp;$H7,$A$4:$A$33,"&lt;="&amp;I7)</f>
        <v>330904</v>
      </c>
    </row>
    <row r="8" spans="1:10">
      <c r="A8" s="4">
        <v>43288</v>
      </c>
      <c r="B8" t="s">
        <v>42</v>
      </c>
      <c r="C8" s="22">
        <v>39979</v>
      </c>
      <c r="H8" s="4">
        <v>43313</v>
      </c>
      <c r="I8" s="4">
        <v>43358</v>
      </c>
      <c r="J8" s="22">
        <f>SUMIFS($C$4:$C$33,$A$4:$A$33,"&gt;"&amp;$H8,$A$4:$A$33,"&lt;="&amp;I8)</f>
        <v>589784</v>
      </c>
    </row>
    <row r="9" spans="1:10">
      <c r="A9" s="4">
        <v>43293</v>
      </c>
      <c r="B9" t="s">
        <v>39</v>
      </c>
      <c r="C9" s="22">
        <v>29277</v>
      </c>
    </row>
    <row r="10" spans="1:10">
      <c r="A10" s="4">
        <v>43299</v>
      </c>
      <c r="B10" t="s">
        <v>38</v>
      </c>
      <c r="C10" s="22">
        <v>33681</v>
      </c>
    </row>
    <row r="11" spans="1:10" ht="15.6">
      <c r="A11" s="4">
        <v>43299</v>
      </c>
      <c r="B11" t="s">
        <v>42</v>
      </c>
      <c r="C11" s="22">
        <v>19998</v>
      </c>
      <c r="H11" s="21" t="s">
        <v>43</v>
      </c>
    </row>
    <row r="12" spans="1:10">
      <c r="A12" s="4">
        <v>43303</v>
      </c>
      <c r="B12" t="s">
        <v>39</v>
      </c>
      <c r="C12" s="22">
        <v>31955</v>
      </c>
    </row>
    <row r="13" spans="1:10">
      <c r="A13" s="4">
        <v>43306</v>
      </c>
      <c r="B13" t="s">
        <v>38</v>
      </c>
      <c r="C13" s="22">
        <v>59878</v>
      </c>
      <c r="H13" s="23" t="s">
        <v>35</v>
      </c>
      <c r="I13" s="23"/>
      <c r="J13" s="23" t="s">
        <v>36</v>
      </c>
    </row>
    <row r="14" spans="1:10">
      <c r="A14" s="4">
        <v>43306</v>
      </c>
      <c r="B14" t="s">
        <v>38</v>
      </c>
      <c r="C14" s="22">
        <v>29938</v>
      </c>
      <c r="H14" s="24">
        <v>43252</v>
      </c>
      <c r="J14" s="22">
        <f>SUMIFS($C$4:$C$33,$A$4:$A$33,"&gt;="&amp;H14,$A$4:$A$33,"&lt;="&amp;EOMONTH(H14,0))</f>
        <v>68592</v>
      </c>
    </row>
    <row r="15" spans="1:10">
      <c r="A15" s="4">
        <v>43307</v>
      </c>
      <c r="B15" t="s">
        <v>38</v>
      </c>
      <c r="C15" s="22">
        <v>34196</v>
      </c>
      <c r="H15" s="24">
        <v>43282</v>
      </c>
      <c r="J15" s="22">
        <f>SUMIFS($C$4:$C$33,$A$4:$A$33,"&gt;="&amp;H15,$A$4:$A$33,"&lt;="&amp;EOMONTH(H15,0))</f>
        <v>424357</v>
      </c>
    </row>
    <row r="16" spans="1:10">
      <c r="A16" s="4">
        <v>43307</v>
      </c>
      <c r="B16" t="s">
        <v>42</v>
      </c>
      <c r="C16" s="22">
        <v>65965</v>
      </c>
      <c r="H16" s="24">
        <v>43313</v>
      </c>
      <c r="J16" s="22">
        <f>SUMIFS($C$4:$C$33,$A$4:$A$33,"&gt;="&amp;H16,$A$4:$A$33,"&lt;="&amp;EOMONTH(H16,0))</f>
        <v>528074</v>
      </c>
    </row>
    <row r="17" spans="1:10">
      <c r="A17" s="4">
        <v>43312</v>
      </c>
      <c r="B17" t="s">
        <v>39</v>
      </c>
      <c r="C17" s="22">
        <v>11598</v>
      </c>
      <c r="H17" s="24">
        <v>43344</v>
      </c>
      <c r="J17" s="22">
        <f>SUMIFS($C$4:$C$33,$A$4:$A$33,"&gt;="&amp;H17,$A$4:$A$33,"&lt;="&amp;EOMONTH(H17,0))</f>
        <v>105405</v>
      </c>
    </row>
    <row r="18" spans="1:10">
      <c r="A18" s="4">
        <v>43313</v>
      </c>
      <c r="B18" t="s">
        <v>38</v>
      </c>
      <c r="C18" s="22">
        <v>43695</v>
      </c>
    </row>
    <row r="19" spans="1:10">
      <c r="A19" s="4">
        <v>43314</v>
      </c>
      <c r="B19" t="s">
        <v>42</v>
      </c>
      <c r="C19" s="22">
        <v>53963</v>
      </c>
    </row>
    <row r="20" spans="1:10" ht="15.6">
      <c r="A20" s="4">
        <v>43318</v>
      </c>
      <c r="B20" t="s">
        <v>42</v>
      </c>
      <c r="C20" s="22">
        <v>43784</v>
      </c>
      <c r="H20" s="21" t="s">
        <v>44</v>
      </c>
    </row>
    <row r="21" spans="1:10">
      <c r="A21" s="4">
        <v>43318</v>
      </c>
      <c r="B21" t="s">
        <v>42</v>
      </c>
      <c r="C21" s="22">
        <v>49656</v>
      </c>
    </row>
    <row r="22" spans="1:10">
      <c r="A22" s="4">
        <v>43318</v>
      </c>
      <c r="B22" t="s">
        <v>38</v>
      </c>
      <c r="C22" s="22">
        <v>24325</v>
      </c>
      <c r="H22" s="23" t="s">
        <v>35</v>
      </c>
      <c r="I22" s="23" t="s">
        <v>0</v>
      </c>
      <c r="J22" s="23" t="s">
        <v>36</v>
      </c>
    </row>
    <row r="23" spans="1:10">
      <c r="A23" s="4">
        <v>43321</v>
      </c>
      <c r="B23" t="s">
        <v>42</v>
      </c>
      <c r="C23" s="22">
        <v>46336</v>
      </c>
      <c r="H23" s="24">
        <v>43252</v>
      </c>
      <c r="I23" t="s">
        <v>38</v>
      </c>
      <c r="J23" s="22">
        <f t="shared" ref="J23:J34" si="0">SUMIFS($C$4:$C$33,$A$4:$A$33,"&gt;="&amp;H23,$A$4:$A$33,"&lt;="&amp;EOMONTH(H23,0),$B$4:$B$33,I23)</f>
        <v>44196</v>
      </c>
    </row>
    <row r="24" spans="1:10">
      <c r="A24" s="4">
        <v>43328</v>
      </c>
      <c r="B24" t="s">
        <v>39</v>
      </c>
      <c r="C24" s="22">
        <v>45540</v>
      </c>
      <c r="H24" s="24">
        <v>43252</v>
      </c>
      <c r="I24" t="s">
        <v>39</v>
      </c>
      <c r="J24" s="22">
        <f t="shared" si="0"/>
        <v>24396</v>
      </c>
    </row>
    <row r="25" spans="1:10">
      <c r="A25" s="4">
        <v>43332</v>
      </c>
      <c r="B25" t="s">
        <v>42</v>
      </c>
      <c r="C25" s="22">
        <v>19989</v>
      </c>
      <c r="H25" s="24">
        <v>43252</v>
      </c>
      <c r="I25" t="s">
        <v>42</v>
      </c>
      <c r="J25" s="22">
        <f t="shared" si="0"/>
        <v>0</v>
      </c>
    </row>
    <row r="26" spans="1:10">
      <c r="A26" s="4">
        <v>43333</v>
      </c>
      <c r="B26" t="s">
        <v>42</v>
      </c>
      <c r="C26" s="22">
        <v>44675</v>
      </c>
      <c r="H26" s="24">
        <v>43282</v>
      </c>
      <c r="I26" t="s">
        <v>38</v>
      </c>
      <c r="J26" s="22">
        <f t="shared" si="0"/>
        <v>225585</v>
      </c>
    </row>
    <row r="27" spans="1:10">
      <c r="A27" s="4">
        <v>43337</v>
      </c>
      <c r="B27" t="s">
        <v>39</v>
      </c>
      <c r="C27" s="22">
        <v>52311</v>
      </c>
      <c r="H27" s="24">
        <v>43282</v>
      </c>
      <c r="I27" t="s">
        <v>39</v>
      </c>
      <c r="J27" s="22">
        <f t="shared" si="0"/>
        <v>72830</v>
      </c>
    </row>
    <row r="28" spans="1:10">
      <c r="A28" s="4">
        <v>43338</v>
      </c>
      <c r="B28" t="s">
        <v>39</v>
      </c>
      <c r="C28" s="22">
        <v>31955</v>
      </c>
      <c r="H28" s="24">
        <v>43282</v>
      </c>
      <c r="I28" t="s">
        <v>42</v>
      </c>
      <c r="J28" s="22">
        <f t="shared" si="0"/>
        <v>125942</v>
      </c>
    </row>
    <row r="29" spans="1:10">
      <c r="A29" s="4">
        <v>43342</v>
      </c>
      <c r="B29" t="s">
        <v>42</v>
      </c>
      <c r="C29" s="22">
        <v>42569</v>
      </c>
      <c r="H29" s="24">
        <v>43313</v>
      </c>
      <c r="I29" t="s">
        <v>38</v>
      </c>
      <c r="J29" s="22">
        <f t="shared" si="0"/>
        <v>68020</v>
      </c>
    </row>
    <row r="30" spans="1:10">
      <c r="A30" s="4">
        <v>43343</v>
      </c>
      <c r="B30" t="s">
        <v>39</v>
      </c>
      <c r="C30" s="22">
        <v>29276</v>
      </c>
      <c r="H30" s="24">
        <v>43313</v>
      </c>
      <c r="I30" t="s">
        <v>39</v>
      </c>
      <c r="J30" s="22">
        <f t="shared" si="0"/>
        <v>159082</v>
      </c>
    </row>
    <row r="31" spans="1:10">
      <c r="A31" s="4">
        <v>43345</v>
      </c>
      <c r="B31" t="s">
        <v>39</v>
      </c>
      <c r="C31" s="22">
        <v>34155</v>
      </c>
      <c r="H31" s="24">
        <v>43313</v>
      </c>
      <c r="I31" t="s">
        <v>42</v>
      </c>
      <c r="J31" s="22">
        <f t="shared" si="0"/>
        <v>300972</v>
      </c>
    </row>
    <row r="32" spans="1:10">
      <c r="A32" s="4">
        <v>43345</v>
      </c>
      <c r="B32" t="s">
        <v>38</v>
      </c>
      <c r="C32" s="22">
        <v>39295</v>
      </c>
      <c r="H32" s="24">
        <v>43344</v>
      </c>
      <c r="I32" t="s">
        <v>38</v>
      </c>
      <c r="J32" s="22">
        <f t="shared" si="0"/>
        <v>39295</v>
      </c>
    </row>
    <row r="33" spans="1:10">
      <c r="A33" s="4">
        <v>43347</v>
      </c>
      <c r="B33" t="s">
        <v>39</v>
      </c>
      <c r="C33" s="22">
        <v>31955</v>
      </c>
      <c r="H33" s="24">
        <v>43344</v>
      </c>
      <c r="I33" t="s">
        <v>39</v>
      </c>
      <c r="J33" s="22">
        <f t="shared" si="0"/>
        <v>66110</v>
      </c>
    </row>
    <row r="34" spans="1:10">
      <c r="H34" s="24">
        <v>43344</v>
      </c>
      <c r="I34" t="s">
        <v>42</v>
      </c>
      <c r="J34" s="22">
        <f t="shared" si="0"/>
        <v>0</v>
      </c>
    </row>
    <row r="41" spans="1:10">
      <c r="H41" s="24"/>
      <c r="J41" s="22"/>
    </row>
    <row r="42" spans="1:10">
      <c r="H42" s="24"/>
      <c r="J42" s="22"/>
    </row>
  </sheetData>
  <pageMargins left="0.7" right="0.7" top="0.75" bottom="0.75" header="0.3" footer="0.3"/>
  <pageSetup paperSize="9" scale="73" orientation="portrait" horizontalDpi="1200" verticalDpi="1200" r:id="rId1"/>
  <headerFooter>
    <oddHeader>&amp;C&amp;A&amp;R&amp;P/&amp;N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2:C14"/>
  <sheetViews>
    <sheetView showGridLines="0" zoomScaleNormal="100" workbookViewId="0">
      <selection activeCell="B6" sqref="B6"/>
    </sheetView>
  </sheetViews>
  <sheetFormatPr defaultRowHeight="14.4"/>
  <cols>
    <col min="1" max="1" width="12.109375" customWidth="1"/>
    <col min="3" max="3" width="10.33203125" customWidth="1"/>
  </cols>
  <sheetData>
    <row r="2" spans="1:3">
      <c r="A2" s="20" t="s">
        <v>35</v>
      </c>
      <c r="B2" s="20" t="s">
        <v>0</v>
      </c>
      <c r="C2" s="20" t="s">
        <v>36</v>
      </c>
    </row>
    <row r="3" spans="1:3">
      <c r="A3" s="25">
        <v>43252</v>
      </c>
      <c r="B3" t="s">
        <v>38</v>
      </c>
      <c r="C3" s="22">
        <v>44196</v>
      </c>
    </row>
    <row r="4" spans="1:3">
      <c r="A4" s="25"/>
      <c r="B4" t="s">
        <v>39</v>
      </c>
      <c r="C4" s="22">
        <v>24396</v>
      </c>
    </row>
    <row r="5" spans="1:3">
      <c r="A5" s="25"/>
      <c r="B5" t="s">
        <v>42</v>
      </c>
      <c r="C5" s="22">
        <v>0</v>
      </c>
    </row>
    <row r="6" spans="1:3">
      <c r="A6" s="25">
        <v>43282</v>
      </c>
      <c r="B6" t="s">
        <v>38</v>
      </c>
      <c r="C6" s="22">
        <v>225585</v>
      </c>
    </row>
    <row r="7" spans="1:3">
      <c r="A7" s="25"/>
      <c r="B7" t="s">
        <v>39</v>
      </c>
      <c r="C7" s="22">
        <v>72830</v>
      </c>
    </row>
    <row r="8" spans="1:3">
      <c r="A8" s="25"/>
      <c r="B8" t="s">
        <v>42</v>
      </c>
      <c r="C8" s="22">
        <v>125942</v>
      </c>
    </row>
    <row r="9" spans="1:3">
      <c r="A9" s="25">
        <v>43313</v>
      </c>
      <c r="B9" t="s">
        <v>38</v>
      </c>
      <c r="C9" s="22">
        <v>68020</v>
      </c>
    </row>
    <row r="10" spans="1:3">
      <c r="A10" s="25"/>
      <c r="B10" t="s">
        <v>39</v>
      </c>
      <c r="C10" s="22">
        <v>159082</v>
      </c>
    </row>
    <row r="11" spans="1:3">
      <c r="A11" s="25"/>
      <c r="B11" t="s">
        <v>42</v>
      </c>
      <c r="C11" s="22">
        <v>300972</v>
      </c>
    </row>
    <row r="12" spans="1:3">
      <c r="A12" s="25">
        <v>43344</v>
      </c>
      <c r="B12" t="s">
        <v>38</v>
      </c>
      <c r="C12" s="22">
        <v>39295</v>
      </c>
    </row>
    <row r="13" spans="1:3">
      <c r="A13" s="25"/>
      <c r="B13" t="s">
        <v>39</v>
      </c>
      <c r="C13" s="22">
        <v>66110</v>
      </c>
    </row>
    <row r="14" spans="1:3">
      <c r="A14" s="25"/>
      <c r="B14" t="s">
        <v>42</v>
      </c>
      <c r="C14" s="22">
        <v>0</v>
      </c>
    </row>
  </sheetData>
  <pageMargins left="0.7" right="0.7" top="0.75" bottom="0.75" header="0.3" footer="0.3"/>
  <pageSetup paperSize="9" orientation="landscape" r:id="rId1"/>
  <headerFooter>
    <oddHeader>&amp;C&amp;A&amp;R&amp;P/&amp;N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</vt:vector>
  </HeadingPairs>
  <TitlesOfParts>
    <vt:vector size="8" baseType="lpstr">
      <vt:lpstr>PrintSheet</vt:lpstr>
      <vt:lpstr>Transpose</vt:lpstr>
      <vt:lpstr>InputForm</vt:lpstr>
      <vt:lpstr>SUM_Dates</vt:lpstr>
      <vt:lpstr>Report</vt:lpstr>
      <vt:lpstr>Chart4</vt:lpstr>
      <vt:lpstr>Chart2</vt:lpstr>
      <vt:lpstr>Chart1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XelPlus.com/courses</dc:description>
  <cp:lastModifiedBy>Apu</cp:lastModifiedBy>
  <cp:lastPrinted>2020-01-15T19:45:22Z</cp:lastPrinted>
  <dcterms:created xsi:type="dcterms:W3CDTF">2018-01-05T16:30:23Z</dcterms:created>
  <dcterms:modified xsi:type="dcterms:W3CDTF">2020-01-15T19:45:24Z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2928ba4c-f971-46d9-8813-b65b785f7104</vt:lpwstr>
  </property>
</Properties>
</file>